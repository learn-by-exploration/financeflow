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Monthly expenses" sheetId="1" r:id="rId5"/>
    <sheet state="visible" name="Family Expense" sheetId="2" r:id="rId6"/>
    <sheet state="visible" name="Monthly Expense -personal" sheetId="3" r:id="rId7"/>
    <sheet state="visible" name="Personal Fixed Expenditure" sheetId="4" r:id="rId8"/>
    <sheet state="visible" name="Friends Borrow" sheetId="5" r:id="rId9"/>
    <sheet state="visible" name=" Loan details" sheetId="6" r:id="rId10"/>
    <sheet state="visible" name="Money handling" sheetId="7" r:id="rId11"/>
    <sheet state="visible" name="Home Fixed Expenditure" sheetId="8" r:id="rId12"/>
    <sheet state="visible" name="Borrowing or Goodwil" sheetId="9" r:id="rId13"/>
    <sheet state="visible" name="ToDo" sheetId="10" r:id="rId14"/>
    <sheet state="visible" name="Current Status" sheetId="11" r:id="rId15"/>
    <sheet state="visible" name="Config" sheetId="12" r:id="rId16"/>
    <sheet state="visible" name="Future Financial Goals" sheetId="13" r:id="rId17"/>
    <sheet state="visible" name="Investments or Assets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">
      <text>
        <t xml:space="preserve">Need to figure out the correct formula for this.
</t>
      </text>
    </comment>
  </commentList>
</comments>
</file>

<file path=xl/sharedStrings.xml><?xml version="1.0" encoding="utf-8"?>
<sst xmlns="http://schemas.openxmlformats.org/spreadsheetml/2006/main" count="605" uniqueCount="350">
  <si>
    <t>Name of Expenditure</t>
  </si>
  <si>
    <t>Amount</t>
  </si>
  <si>
    <t>Type of Expense</t>
  </si>
  <si>
    <t>Number of Months</t>
  </si>
  <si>
    <t>Expiry</t>
  </si>
  <si>
    <t>Any end</t>
  </si>
  <si>
    <t>Total Amount</t>
  </si>
  <si>
    <t>Nature of Expense</t>
  </si>
  <si>
    <t>ICICI Personal Loan</t>
  </si>
  <si>
    <t>Loan Payment</t>
  </si>
  <si>
    <t>6 Year</t>
  </si>
  <si>
    <t>Yes</t>
  </si>
  <si>
    <t>Need</t>
  </si>
  <si>
    <t>HDFC Personal Loan</t>
  </si>
  <si>
    <t>5 Year</t>
  </si>
  <si>
    <t>Total</t>
  </si>
  <si>
    <t>Salary</t>
  </si>
  <si>
    <t>Savings</t>
  </si>
  <si>
    <t>Loan Payments</t>
  </si>
  <si>
    <t>Investments</t>
  </si>
  <si>
    <t>Reference</t>
  </si>
  <si>
    <t>LInk</t>
  </si>
  <si>
    <t>Summary</t>
  </si>
  <si>
    <t>ToDo</t>
  </si>
  <si>
    <t>Family Expense</t>
  </si>
  <si>
    <t>Personal Fixed Expenditure</t>
  </si>
  <si>
    <t>Monthly Expense - personal</t>
  </si>
  <si>
    <t>Future Financial Goal</t>
  </si>
  <si>
    <t>Investments Or Assets</t>
  </si>
  <si>
    <t>Home Fixed Expenditure</t>
  </si>
  <si>
    <t>Loan Details</t>
  </si>
  <si>
    <t>Borrowing or goodwill</t>
  </si>
  <si>
    <t>Personal Borrwoing</t>
  </si>
  <si>
    <t>Category</t>
  </si>
  <si>
    <t>Amount(INR)</t>
  </si>
  <si>
    <t>Maid</t>
  </si>
  <si>
    <t>Utility</t>
  </si>
  <si>
    <t>Scooty EMI</t>
  </si>
  <si>
    <t>EMI</t>
  </si>
  <si>
    <t>Solar EMI</t>
  </si>
  <si>
    <t>Ration</t>
  </si>
  <si>
    <t>Food</t>
  </si>
  <si>
    <t>Milk</t>
  </si>
  <si>
    <t>LPG Gas</t>
  </si>
  <si>
    <t>Home veggies</t>
  </si>
  <si>
    <t>Table</t>
  </si>
  <si>
    <t>Rakesh</t>
  </si>
  <si>
    <t>Nirmala</t>
  </si>
  <si>
    <t>Bag ghanshyam</t>
  </si>
  <si>
    <t>Total          =</t>
  </si>
  <si>
    <t>Date</t>
  </si>
  <si>
    <t>Currency</t>
  </si>
  <si>
    <t>Type</t>
  </si>
  <si>
    <t>Purpose</t>
  </si>
  <si>
    <t>Details</t>
  </si>
  <si>
    <t>Paid from</t>
  </si>
  <si>
    <t>Paid to</t>
  </si>
  <si>
    <t>Column 8</t>
  </si>
  <si>
    <t>28/11/2025</t>
  </si>
  <si>
    <t>Yen</t>
  </si>
  <si>
    <t>Needs</t>
  </si>
  <si>
    <t>Rent Sakura House</t>
  </si>
  <si>
    <t>MOnthly rent</t>
  </si>
  <si>
    <t>JP Debit Card</t>
  </si>
  <si>
    <t>Sakura House</t>
  </si>
  <si>
    <t>29/11/2025</t>
  </si>
  <si>
    <t>Needs, Food</t>
  </si>
  <si>
    <t>Buy grocery for house</t>
  </si>
  <si>
    <t>Monthly food expense</t>
  </si>
  <si>
    <t>Ok store</t>
  </si>
  <si>
    <t>Number of Moths</t>
  </si>
  <si>
    <t>Mobile Bill</t>
  </si>
  <si>
    <t>Needs , Utilities</t>
  </si>
  <si>
    <t>1 Year</t>
  </si>
  <si>
    <t>After some time</t>
  </si>
  <si>
    <t>Netflix + spotify + G One subscription</t>
  </si>
  <si>
    <t>Wants, Utilities</t>
  </si>
  <si>
    <t>1 year</t>
  </si>
  <si>
    <t>Home Grocery</t>
  </si>
  <si>
    <t>Needs , Groceries</t>
  </si>
  <si>
    <t>No</t>
  </si>
  <si>
    <t>Office Food</t>
  </si>
  <si>
    <t>Needs , Dining Out</t>
  </si>
  <si>
    <t>Office Commute</t>
  </si>
  <si>
    <t>Needs , Transportation</t>
  </si>
  <si>
    <t>Needs , Rent/Mortgage</t>
  </si>
  <si>
    <t>Name</t>
  </si>
  <si>
    <t>Type of Transaction</t>
  </si>
  <si>
    <t>Person Name</t>
  </si>
  <si>
    <t>Amount paid</t>
  </si>
  <si>
    <t>Interest Rate</t>
  </si>
  <si>
    <t>Start Date</t>
  </si>
  <si>
    <t>End Date</t>
  </si>
  <si>
    <t>Outstanding Amount</t>
  </si>
  <si>
    <t>Tenure( months)</t>
  </si>
  <si>
    <t>Purpose of loan</t>
  </si>
  <si>
    <t>Mode</t>
  </si>
  <si>
    <t>Settling Priority</t>
  </si>
  <si>
    <t>Ayush</t>
  </si>
  <si>
    <t>Borrowing</t>
  </si>
  <si>
    <t>Self</t>
  </si>
  <si>
    <t>NA</t>
  </si>
  <si>
    <t>For clearing the loan of Bank of main house in PNB</t>
  </si>
  <si>
    <t>Mom submitted the money to bank</t>
  </si>
  <si>
    <t>High</t>
  </si>
  <si>
    <t>saikat</t>
  </si>
  <si>
    <t>VIshnu</t>
  </si>
  <si>
    <t>Jagdeeshan</t>
  </si>
  <si>
    <t>Vijay Meena</t>
  </si>
  <si>
    <t>Ravi kattakwal</t>
  </si>
  <si>
    <t>Yuva Laxmi(RR)</t>
  </si>
  <si>
    <t>Nivedtiha S(RR)</t>
  </si>
  <si>
    <t>Amit singh(JP)</t>
  </si>
  <si>
    <t>Raj sen(RR)</t>
  </si>
  <si>
    <t>Sahil P(MARS)</t>
  </si>
  <si>
    <t>Manas kumar( IIITDM)</t>
  </si>
  <si>
    <t>Akshat shah(Addverb)</t>
  </si>
  <si>
    <t>Arunima gupta(Addverb)</t>
  </si>
  <si>
    <t>Loan Name</t>
  </si>
  <si>
    <t>Bank</t>
  </si>
  <si>
    <t>Tenure</t>
  </si>
  <si>
    <t>Full Closure amount</t>
  </si>
  <si>
    <t>Loan Account Number</t>
  </si>
  <si>
    <t>Repayment Account Number</t>
  </si>
  <si>
    <t>Date of emi</t>
  </si>
  <si>
    <t>Closure Priority</t>
  </si>
  <si>
    <t>Column 1</t>
  </si>
  <si>
    <t>ToDo:</t>
  </si>
  <si>
    <t>ICICI Loan</t>
  </si>
  <si>
    <t>ICICI Bank</t>
  </si>
  <si>
    <t>Clearing Dues</t>
  </si>
  <si>
    <t>LPNOD00049499711</t>
  </si>
  <si>
    <t>NACH Axis</t>
  </si>
  <si>
    <t>5th of every month</t>
  </si>
  <si>
    <t>1st</t>
  </si>
  <si>
    <t>Close this first as soon as you can</t>
  </si>
  <si>
    <t>HDFC BANK</t>
  </si>
  <si>
    <t>HDFC</t>
  </si>
  <si>
    <t>Making Payments for Case and other home debt, Home renovation</t>
  </si>
  <si>
    <t>6th of every month</t>
  </si>
  <si>
    <t>2nd</t>
  </si>
  <si>
    <t>Start part payment of this loan and if possible try to get it transferred to HDFC</t>
  </si>
  <si>
    <t>Education Loan PNB</t>
  </si>
  <si>
    <t>PNB Rattinamangalam</t>
  </si>
  <si>
    <t>Education loan for studying at IIITDM Kancheepuram</t>
  </si>
  <si>
    <t>980500JB00000552</t>
  </si>
  <si>
    <t>R04399862</t>
  </si>
  <si>
    <t>Direct account</t>
  </si>
  <si>
    <t>Least as the Interest is pretty low for this,</t>
  </si>
  <si>
    <t>If paid within 5 years the EMI would be  14911</t>
  </si>
  <si>
    <t>Start the EMI of this loan, such that you could pay this in 5-6 years.</t>
  </si>
  <si>
    <t>Related reference to color</t>
  </si>
  <si>
    <t>Color Code</t>
  </si>
  <si>
    <t>To be closed soon</t>
  </si>
  <si>
    <t>Have less interest rate</t>
  </si>
  <si>
    <t>Need to be closed soon</t>
  </si>
  <si>
    <t>Closed</t>
  </si>
  <si>
    <t>Old Data:</t>
  </si>
  <si>
    <t>HDFC Bank</t>
  </si>
  <si>
    <t>Making paynment for case and also clearing bills and safe fund</t>
  </si>
  <si>
    <t>9th of every month</t>
  </si>
  <si>
    <t>3rd</t>
  </si>
  <si>
    <t>Start part payment of it so that you have to pay less</t>
  </si>
  <si>
    <t>DMI Finance Loan</t>
  </si>
  <si>
    <t>DMI</t>
  </si>
  <si>
    <t>Gave money to mama for clearing off 1 lakh debt as goodwill</t>
  </si>
  <si>
    <t>DMI0036336731</t>
  </si>
  <si>
    <t>NACH PNB OBC</t>
  </si>
  <si>
    <t>Will be closed soon 2 more months</t>
  </si>
  <si>
    <t>Nothing just close it, so that you are relaxed for some time.</t>
  </si>
  <si>
    <t xml:space="preserve">whom </t>
  </si>
  <si>
    <t>why</t>
  </si>
  <si>
    <t>priority</t>
  </si>
  <si>
    <t>Raj sen</t>
  </si>
  <si>
    <t>Need to do</t>
  </si>
  <si>
    <t>jagseer</t>
  </si>
  <si>
    <t>Dukaan Nani</t>
  </si>
  <si>
    <t>EMI Paid Already</t>
  </si>
  <si>
    <t>Self Health Insurance</t>
  </si>
  <si>
    <t>Insurance</t>
  </si>
  <si>
    <t>Family Health Insurance</t>
  </si>
  <si>
    <t>Ram and santoshi school fee</t>
  </si>
  <si>
    <t>Education</t>
  </si>
  <si>
    <t>Shyam School Fee</t>
  </si>
  <si>
    <t>Home Electricity</t>
  </si>
  <si>
    <t>Home Utility</t>
  </si>
  <si>
    <t>Work Utility</t>
  </si>
  <si>
    <t>LPG Cylind</t>
  </si>
  <si>
    <t>Oil and Ghee</t>
  </si>
  <si>
    <t>Wheet Flour</t>
  </si>
  <si>
    <t>Vegetables</t>
  </si>
  <si>
    <t>Entertainment</t>
  </si>
  <si>
    <t>Want</t>
  </si>
  <si>
    <t>Jagseer Uncle</t>
  </si>
  <si>
    <t>Jagseer Soni</t>
  </si>
  <si>
    <t>Arun Ki Mata Ji</t>
  </si>
  <si>
    <t>Arun JI siliguri</t>
  </si>
  <si>
    <t>Education Challan</t>
  </si>
  <si>
    <t>Account transfer but don't know whose.</t>
  </si>
  <si>
    <t>Medium</t>
  </si>
  <si>
    <t>Sant Kabir School Fee Santoshi</t>
  </si>
  <si>
    <t>Sant Kabir school Principal</t>
  </si>
  <si>
    <t>Need to pay the pending fee</t>
  </si>
  <si>
    <t>Santoshi studied at the school</t>
  </si>
  <si>
    <t>Sanwariya Water Fitting</t>
  </si>
  <si>
    <t>For doing the water fitting work at home</t>
  </si>
  <si>
    <t>Radha Maasi</t>
  </si>
  <si>
    <t>For some work</t>
  </si>
  <si>
    <t>Low</t>
  </si>
  <si>
    <t>Dukaan GNG Nani</t>
  </si>
  <si>
    <t>Pawan Mimani</t>
  </si>
  <si>
    <t>6 year</t>
  </si>
  <si>
    <t>By the end of this year</t>
  </si>
  <si>
    <t>For some work between nani and dad</t>
  </si>
  <si>
    <t>Cash payment</t>
  </si>
  <si>
    <t>Patwaari Uncle Goluwala</t>
  </si>
  <si>
    <t>During CoViD for food and other necessity</t>
  </si>
  <si>
    <t>Bana</t>
  </si>
  <si>
    <t>For gambling by dad</t>
  </si>
  <si>
    <t>fridge( EMI to Goluwala shop</t>
  </si>
  <si>
    <t>Mom</t>
  </si>
  <si>
    <t>Buying Fridge</t>
  </si>
  <si>
    <t>Bijli fitting</t>
  </si>
  <si>
    <t>Pawan Bijli Fitting</t>
  </si>
  <si>
    <t>Electricity fitting in house</t>
  </si>
  <si>
    <t>Start Data</t>
  </si>
  <si>
    <t>Desciption of task</t>
  </si>
  <si>
    <t>Invest in Mutual Fund</t>
  </si>
  <si>
    <t>Debt Mutual Fund 30 %.  Nifty 50 Index Mutual Fund 30% . Midcap mutual fund 20%. Small Cap mutual fund 20%.</t>
  </si>
  <si>
    <t>Research About Term life insurance for myself and parents</t>
  </si>
  <si>
    <t>15/10/2024</t>
  </si>
  <si>
    <t>Work on the daily expense tracker for better records</t>
  </si>
  <si>
    <t>29/09/2024</t>
  </si>
  <si>
    <t>Use Ravi's expense tracker for better expense tracker.</t>
  </si>
  <si>
    <t>Create Alarm or reminder to do the expense accounts daily</t>
  </si>
  <si>
    <t>Create alarm and remainder</t>
  </si>
  <si>
    <t>Figure out the way you will be paying EMI's</t>
  </si>
  <si>
    <t>Pay 1 emi extra and 10% increment in EMI will close the loan faster, see how you can restructure the same.</t>
  </si>
  <si>
    <t>Set goals for your financial funds for next 1 year.</t>
  </si>
  <si>
    <t>28/12/2024</t>
  </si>
  <si>
    <t>See what is the aim for funds, investments and loans for the next year.</t>
  </si>
  <si>
    <t>Month/ Salary</t>
  </si>
  <si>
    <t>Extra Income</t>
  </si>
  <si>
    <t>Fixed Expenditure</t>
  </si>
  <si>
    <t>Varibale Expenditure</t>
  </si>
  <si>
    <t>Loan EMI Total</t>
  </si>
  <si>
    <t>Emergency Fund</t>
  </si>
  <si>
    <t>Saving Fund</t>
  </si>
  <si>
    <t>Money in SIP</t>
  </si>
  <si>
    <t>Overall Score</t>
  </si>
  <si>
    <t>Investment Score</t>
  </si>
  <si>
    <t>Expenditure Score</t>
  </si>
  <si>
    <t>Funds Score</t>
  </si>
  <si>
    <t>Max Need to salary ratio</t>
  </si>
  <si>
    <t>Max EMI to salary ratio</t>
  </si>
  <si>
    <t>Min Savings to salary ratio</t>
  </si>
  <si>
    <t>Min Investment to salary ratio</t>
  </si>
  <si>
    <t>Max Wants to salary ratio</t>
  </si>
  <si>
    <t>Min Emergency Fund</t>
  </si>
  <si>
    <t>Min Saving Fund</t>
  </si>
  <si>
    <t>Min Money in SIP</t>
  </si>
  <si>
    <t>Salary Month</t>
  </si>
  <si>
    <t>In hand after deducation and paying youself</t>
  </si>
  <si>
    <t>Income that you earn apart from your salary</t>
  </si>
  <si>
    <t>Expendture which are fixed and non negotiable</t>
  </si>
  <si>
    <t>Expenses which are dynamic and have varible component, may be because of uncertainity or due to wants</t>
  </si>
  <si>
    <t>Total Amount of EMI being paid</t>
  </si>
  <si>
    <t>Total Investment done per month</t>
  </si>
  <si>
    <t>Total Saving done after excluding investments</t>
  </si>
  <si>
    <t>Fund that one have in case of any emergency</t>
  </si>
  <si>
    <t>Fund that is saved in order for dealing with some expenditure which are necessary</t>
  </si>
  <si>
    <t>Total money in SIP based on investment till now.</t>
  </si>
  <si>
    <t>Forumla used to asses the performance of each month based on differnt factors.</t>
  </si>
  <si>
    <t>Overall Investment score and also the score of extra income</t>
  </si>
  <si>
    <t>Overall Expenditure score, it just indicate how well you are managing your expenditure</t>
  </si>
  <si>
    <t>Overall funds score, it indicates how much funds you have based on your salary and standard rations in the market</t>
  </si>
  <si>
    <t>Type of spend</t>
  </si>
  <si>
    <t>Source of Borrowing</t>
  </si>
  <si>
    <t>Type of Lending</t>
  </si>
  <si>
    <t>Priority</t>
  </si>
  <si>
    <t>Mode of payment</t>
  </si>
  <si>
    <t xml:space="preserve">Needs </t>
  </si>
  <si>
    <t>Friend</t>
  </si>
  <si>
    <t>Personal Loan</t>
  </si>
  <si>
    <t>Cash</t>
  </si>
  <si>
    <t>Wants</t>
  </si>
  <si>
    <t>Family Member</t>
  </si>
  <si>
    <t>Home Mortgage</t>
  </si>
  <si>
    <t>Debit Card</t>
  </si>
  <si>
    <t>Luxary</t>
  </si>
  <si>
    <t>Coworker/Acquaintance</t>
  </si>
  <si>
    <t>Auto Loan</t>
  </si>
  <si>
    <t>Credit Card</t>
  </si>
  <si>
    <t>Goal</t>
  </si>
  <si>
    <t>Peer-to-Peer (P2P)</t>
  </si>
  <si>
    <t>Bank Transfer (or Direct Debit)</t>
  </si>
  <si>
    <t>Groceries</t>
  </si>
  <si>
    <t>Emergency Fund Draw</t>
  </si>
  <si>
    <t>Student Loan</t>
  </si>
  <si>
    <t>Online Payment Platform</t>
  </si>
  <si>
    <t>Rent/Mortgage</t>
  </si>
  <si>
    <t>Personal Loan (Informal)</t>
  </si>
  <si>
    <t>Business Loan</t>
  </si>
  <si>
    <t>Utilities</t>
  </si>
  <si>
    <t>Employer Advance</t>
  </si>
  <si>
    <t>Line of Credit</t>
  </si>
  <si>
    <t>Transportation</t>
  </si>
  <si>
    <t>Community Fund</t>
  </si>
  <si>
    <t>Payday Loan</t>
  </si>
  <si>
    <t>Dining Out</t>
  </si>
  <si>
    <t>Installment Loan</t>
  </si>
  <si>
    <t>Revolving Credit</t>
  </si>
  <si>
    <t>Personal Care</t>
  </si>
  <si>
    <t>Healthcare</t>
  </si>
  <si>
    <t>Savings/Investments</t>
  </si>
  <si>
    <t>Miscellaneous</t>
  </si>
  <si>
    <t>Surprise</t>
  </si>
  <si>
    <t>Title of Goal</t>
  </si>
  <si>
    <t>Amount Required</t>
  </si>
  <si>
    <t>Saving required per month</t>
  </si>
  <si>
    <t>Term Life Insurance for Myself</t>
  </si>
  <si>
    <t>Term Life Insurance for Mother</t>
  </si>
  <si>
    <t>Term Life Insurance for Father</t>
  </si>
  <si>
    <t xml:space="preserve">Ram first Year Fee </t>
  </si>
  <si>
    <t>1,00,000</t>
  </si>
  <si>
    <t>Ram Laptop for study</t>
  </si>
  <si>
    <t>Santoshi Preperation for NID 11th class</t>
  </si>
  <si>
    <t>Santoshi Preperation for NID 12th class</t>
  </si>
  <si>
    <t>01/01/04/2027</t>
  </si>
  <si>
    <t>Get a plot for investment purpose only</t>
  </si>
  <si>
    <t>Mom and Nani Kedarnath Trip</t>
  </si>
  <si>
    <t xml:space="preserve">Name </t>
  </si>
  <si>
    <t>Type of Investment</t>
  </si>
  <si>
    <t>ROI( in %)</t>
  </si>
  <si>
    <t xml:space="preserve">Income </t>
  </si>
  <si>
    <t>Debit Type</t>
  </si>
  <si>
    <t>Time of Debit</t>
  </si>
  <si>
    <t>Account Number</t>
  </si>
  <si>
    <t>Name of the Entity</t>
  </si>
  <si>
    <t>Payment Cleared</t>
  </si>
  <si>
    <t>Comments</t>
  </si>
  <si>
    <t>Vijay Masa JI</t>
  </si>
  <si>
    <t>Lend Money</t>
  </si>
  <si>
    <t>13/07/2024</t>
  </si>
  <si>
    <t>3 months</t>
  </si>
  <si>
    <t>Account Transfer</t>
  </si>
  <si>
    <t>OneTime</t>
  </si>
  <si>
    <t>Vijay Masa Ji</t>
  </si>
  <si>
    <t>NO</t>
  </si>
  <si>
    <t>Money is pending from their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</si>
</sst>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 mmmm yyyy"/>
    <numFmt numFmtId="165" formatCode="d mmmm yyyy"/>
    <numFmt numFmtId="166" formatCode="[$₹]#,##0.00"/>
    <numFmt numFmtId="167" formatCode="mm/dd/yyyy"/>
    <numFmt numFmtId="168" formatCode="mmmm yyyy"/>
    <numFmt numFmtId="169" formatCode="mm/dd"/>
    <numFmt numFmtId="170" formatCode="M/d/yyyy"/>
  </numFmts>
  <fonts count="31">
    <font>
      <sz val="10.0"/>
      <color rgb="FF000000"/>
      <name val="Arial"/>
      <scheme val="minor"/>
    </font>
    <font>
      <b/>
      <sz val="14.0"/>
      <color theme="1"/>
      <name val="Times New Roman"/>
    </font>
    <font>
      <b/>
      <sz val="14.0"/>
      <color theme="1"/>
      <name val="Arial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color theme="1"/>
      <name val="Arial"/>
      <scheme val="minor"/>
    </font>
    <font>
      <b/>
      <sz val="18.0"/>
      <color theme="1"/>
      <name val="Pacifico"/>
    </font>
    <font>
      <sz val="18.0"/>
      <color theme="1"/>
      <name val="Pacifico"/>
    </font>
    <font>
      <sz val="14.0"/>
      <color theme="1"/>
      <name val="Pacifico"/>
    </font>
    <font>
      <b/>
      <sz val="14.0"/>
      <color theme="1"/>
      <name val="Merriweather"/>
    </font>
    <font>
      <sz val="14.0"/>
      <color theme="1"/>
      <name val="Merriweather"/>
    </font>
    <font>
      <sz val="12.0"/>
      <color theme="1"/>
      <name val="Merriweather"/>
    </font>
    <font>
      <sz val="12.0"/>
      <color rgb="FF000000"/>
      <name val="Merriweather"/>
    </font>
    <font>
      <color theme="1"/>
      <name val="Merriweather"/>
    </font>
    <font>
      <b/>
      <sz val="14.0"/>
      <color rgb="FF0B5394"/>
      <name val="Merriweathe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Times New Roman"/>
    </font>
    <font>
      <color rgb="FF000000"/>
      <name val="Arial"/>
    </font>
    <font>
      <b/>
      <sz val="12.0"/>
      <color rgb="FF000000"/>
      <name val="Times New Roman"/>
    </font>
    <font>
      <sz val="10.0"/>
      <color rgb="FF000000"/>
      <name val="Times New Roman"/>
    </font>
    <font>
      <color rgb="FF000000"/>
      <name val="&quot;Times New Roman&quot;"/>
    </font>
    <font>
      <color theme="1"/>
      <name val="Times New Roman"/>
    </font>
    <font>
      <color theme="1"/>
      <name val="Arial"/>
    </font>
    <font>
      <b/>
      <color theme="1"/>
      <name val="Arial"/>
      <scheme val="minor"/>
    </font>
    <font>
      <color theme="1"/>
      <name val="&quot;Google Sans&quot;"/>
    </font>
    <font>
      <color rgb="FF1F1F1F"/>
      <name val="&quot;Google Sans&quot;"/>
    </font>
    <font>
      <sz val="11.0"/>
      <color rgb="FF1F1F1F"/>
      <name val="&quot;Google Sans&quot;"/>
    </font>
    <font>
      <sz val="11.0"/>
      <color theme="1"/>
      <name val="Times New Roman"/>
    </font>
    <font>
      <sz val="10.0"/>
      <color theme="1"/>
      <name val="Times New Roman"/>
    </font>
    <font>
      <sz val="11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9">
    <border/>
    <border>
      <top style="thick">
        <color rgb="FFFF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2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Font="1"/>
    <xf borderId="5" fillId="0" fontId="11" numFmtId="0" xfId="0" applyAlignment="1" applyBorder="1" applyFont="1">
      <alignment horizontal="center" readingOrder="0" shrinkToFit="0" vertical="center" wrapText="0"/>
    </xf>
    <xf borderId="5" fillId="0" fontId="11" numFmtId="0" xfId="0" applyAlignment="1" applyBorder="1" applyFont="1">
      <alignment horizontal="center" readingOrder="0" shrinkToFit="0" vertical="center" wrapText="0"/>
    </xf>
    <xf borderId="5" fillId="0" fontId="12" numFmtId="0" xfId="0" applyAlignment="1" applyBorder="1" applyFont="1">
      <alignment horizontal="center" readingOrder="0" shrinkToFit="0" vertical="center" wrapText="0"/>
    </xf>
    <xf borderId="0" fillId="0" fontId="13" numFmtId="0" xfId="0" applyFont="1"/>
    <xf borderId="5" fillId="0" fontId="11" numFmtId="0" xfId="0" applyAlignment="1" applyBorder="1" applyFont="1">
      <alignment horizontal="center" readingOrder="0" shrinkToFit="0" vertical="center" wrapText="0"/>
    </xf>
    <xf borderId="6" fillId="0" fontId="11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165" xfId="0" applyAlignment="1" applyFont="1" applyNumberFormat="1">
      <alignment readingOrder="0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wrapText="1"/>
    </xf>
    <xf borderId="4" fillId="0" fontId="1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49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9" numFmtId="0" xfId="0" applyAlignment="1" applyFont="1">
      <alignment shrinkToFit="0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0" fontId="20" numFmtId="166" xfId="0" applyAlignment="1" applyBorder="1" applyFont="1" applyNumberFormat="1">
      <alignment readingOrder="0"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5" fillId="0" fontId="20" numFmtId="167" xfId="0" applyAlignment="1" applyBorder="1" applyFont="1" applyNumberFormat="1">
      <alignment readingOrder="0" shrinkToFit="0" vertical="center" wrapText="1"/>
    </xf>
    <xf borderId="5" fillId="0" fontId="20" numFmtId="167" xfId="0" applyAlignment="1" applyBorder="1" applyFont="1" applyNumberFormat="1">
      <alignment shrinkToFit="0" vertical="center" wrapText="1"/>
    </xf>
    <xf borderId="5" fillId="2" fontId="20" numFmtId="0" xfId="0" applyAlignment="1" applyBorder="1" applyFont="1">
      <alignment readingOrder="0" shrinkToFit="0" vertical="center" wrapText="1"/>
    </xf>
    <xf borderId="5" fillId="0" fontId="20" numFmtId="0" xfId="0" applyAlignment="1" applyBorder="1" applyFont="1">
      <alignment shrinkToFit="0" vertical="center" wrapText="1"/>
    </xf>
    <xf borderId="5" fillId="0" fontId="20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shrinkToFit="0" wrapText="1"/>
    </xf>
    <xf borderId="5" fillId="0" fontId="20" numFmtId="0" xfId="0" applyAlignment="1" applyBorder="1" applyFont="1">
      <alignment horizontal="center" shrinkToFit="0" vertical="center" wrapText="1"/>
    </xf>
    <xf borderId="5" fillId="3" fontId="20" numFmtId="0" xfId="0" applyAlignment="1" applyBorder="1" applyFill="1" applyFont="1">
      <alignment readingOrder="0" shrinkToFit="0" vertical="center" wrapText="1"/>
    </xf>
    <xf borderId="5" fillId="4" fontId="3" numFmtId="0" xfId="0" applyAlignment="1" applyBorder="1" applyFill="1" applyFont="1">
      <alignment horizontal="center" readingOrder="0" shrinkToFit="0" vertical="center" wrapText="1"/>
    </xf>
    <xf borderId="5" fillId="5" fontId="20" numFmtId="0" xfId="0" applyAlignment="1" applyBorder="1" applyFill="1" applyFont="1">
      <alignment readingOrder="0" shrinkToFit="0" vertical="center" wrapText="1"/>
    </xf>
    <xf borderId="5" fillId="0" fontId="20" numFmtId="0" xfId="0" applyAlignment="1" applyBorder="1" applyFont="1">
      <alignment shrinkToFit="0" vertical="center" wrapText="1"/>
    </xf>
    <xf borderId="5" fillId="0" fontId="20" numFmtId="0" xfId="0" applyAlignment="1" applyBorder="1" applyFont="1">
      <alignment horizontal="center" readingOrder="0" shrinkToFit="0" vertical="center" wrapText="1"/>
    </xf>
    <xf borderId="5" fillId="0" fontId="20" numFmtId="0" xfId="0" applyAlignment="1" applyBorder="1" applyFont="1">
      <alignment readingOrder="0" shrinkToFit="0" wrapText="1"/>
    </xf>
    <xf borderId="5" fillId="0" fontId="21" numFmtId="0" xfId="0" applyAlignment="1" applyBorder="1" applyFont="1">
      <alignment horizontal="left" readingOrder="0"/>
    </xf>
    <xf borderId="5" fillId="5" fontId="20" numFmtId="0" xfId="0" applyAlignment="1" applyBorder="1" applyFont="1">
      <alignment shrinkToFit="0" wrapText="1"/>
    </xf>
    <xf borderId="5" fillId="4" fontId="20" numFmtId="0" xfId="0" applyAlignment="1" applyBorder="1" applyFont="1">
      <alignment shrinkToFit="0" wrapText="1"/>
    </xf>
    <xf borderId="5" fillId="2" fontId="20" numFmtId="0" xfId="0" applyAlignment="1" applyBorder="1" applyFont="1">
      <alignment shrinkToFit="0" wrapText="1"/>
    </xf>
    <xf borderId="5" fillId="6" fontId="20" numFmtId="0" xfId="0" applyAlignment="1" applyBorder="1" applyFill="1" applyFont="1">
      <alignment shrinkToFit="0" wrapText="1"/>
    </xf>
    <xf borderId="0" fillId="0" fontId="5" numFmtId="0" xfId="0" applyAlignment="1" applyFont="1">
      <alignment readingOrder="0"/>
    </xf>
    <xf borderId="5" fillId="2" fontId="4" numFmtId="0" xfId="0" applyAlignment="1" applyBorder="1" applyFont="1">
      <alignment horizontal="center" shrinkToFit="0" vertical="bottom" wrapText="1"/>
    </xf>
    <xf borderId="5" fillId="0" fontId="22" numFmtId="166" xfId="0" applyAlignment="1" applyBorder="1" applyFont="1" applyNumberFormat="1">
      <alignment horizontal="center" shrinkToFit="0" vertical="bottom" wrapText="1"/>
    </xf>
    <xf borderId="5" fillId="0" fontId="22" numFmtId="0" xfId="0" applyAlignment="1" applyBorder="1" applyFont="1">
      <alignment horizontal="center" shrinkToFit="0" vertical="bottom" wrapText="1"/>
    </xf>
    <xf borderId="5" fillId="0" fontId="22" numFmtId="167" xfId="0" applyAlignment="1" applyBorder="1" applyFont="1" applyNumberFormat="1">
      <alignment horizontal="center" shrinkToFit="0" vertical="bottom" wrapText="1"/>
    </xf>
    <xf borderId="5" fillId="0" fontId="23" numFmtId="0" xfId="0" applyAlignment="1" applyBorder="1" applyFont="1">
      <alignment vertical="bottom"/>
    </xf>
    <xf borderId="5" fillId="7" fontId="22" numFmtId="0" xfId="0" applyAlignment="1" applyBorder="1" applyFill="1" applyFont="1">
      <alignment shrinkToFit="0" vertical="bottom" wrapText="1"/>
    </xf>
    <xf borderId="5" fillId="0" fontId="22" numFmtId="0" xfId="0" applyAlignment="1" applyBorder="1" applyFont="1">
      <alignment shrinkToFit="0" vertical="bottom" wrapText="1"/>
    </xf>
    <xf borderId="0" fillId="0" fontId="23" numFmtId="0" xfId="0" applyAlignment="1" applyFont="1">
      <alignment vertical="bottom"/>
    </xf>
    <xf borderId="5" fillId="2" fontId="22" numFmtId="166" xfId="0" applyAlignment="1" applyBorder="1" applyFont="1" applyNumberFormat="1">
      <alignment horizontal="center" shrinkToFit="0" vertical="bottom" wrapText="1"/>
    </xf>
    <xf borderId="5" fillId="2" fontId="22" numFmtId="0" xfId="0" applyAlignment="1" applyBorder="1" applyFont="1">
      <alignment horizontal="center" shrinkToFit="0" vertical="bottom" wrapText="1"/>
    </xf>
    <xf borderId="5" fillId="2" fontId="22" numFmtId="167" xfId="0" applyAlignment="1" applyBorder="1" applyFont="1" applyNumberFormat="1">
      <alignment horizontal="center" shrinkToFit="0" vertical="bottom" wrapText="1"/>
    </xf>
    <xf borderId="5" fillId="2" fontId="22" numFmtId="4" xfId="0" applyAlignment="1" applyBorder="1" applyFont="1" applyNumberFormat="1">
      <alignment horizontal="center" shrinkToFit="0" vertical="bottom" wrapText="1"/>
    </xf>
    <xf borderId="5" fillId="2" fontId="23" numFmtId="0" xfId="0" applyAlignment="1" applyBorder="1" applyFont="1">
      <alignment vertical="bottom"/>
    </xf>
    <xf borderId="5" fillId="2" fontId="22" numFmtId="0" xfId="0" applyAlignment="1" applyBorder="1" applyFont="1">
      <alignment shrinkToFit="0" vertical="bottom" wrapText="1"/>
    </xf>
    <xf borderId="0" fillId="2" fontId="23" numFmtId="0" xfId="0" applyAlignment="1" applyFont="1">
      <alignment vertical="bottom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vertical="center"/>
    </xf>
    <xf borderId="0" fillId="4" fontId="5" numFmtId="0" xfId="0" applyAlignment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5" numFmtId="0" xfId="0" applyFont="1"/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4" fillId="0" fontId="15" numFmtId="0" xfId="0" applyAlignment="1" applyBorder="1" applyFont="1">
      <alignment horizontal="center" readingOrder="0" shrinkToFit="0" wrapText="1"/>
    </xf>
    <xf borderId="4" fillId="0" fontId="16" numFmtId="0" xfId="0" applyAlignment="1" applyBorder="1" applyFont="1">
      <alignment horizontal="center" readingOrder="0" shrinkToFit="0" wrapText="1"/>
    </xf>
    <xf borderId="4" fillId="0" fontId="18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wrapText="1"/>
    </xf>
    <xf borderId="4" fillId="0" fontId="15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5" numFmtId="167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0" fontId="15" numFmtId="0" xfId="0" applyAlignment="1" applyBorder="1" applyFont="1">
      <alignment horizontal="center" readingOrder="0" shrinkToFit="0" wrapText="1"/>
    </xf>
    <xf borderId="2" fillId="5" fontId="15" numFmtId="0" xfId="0" applyAlignment="1" applyBorder="1" applyFont="1">
      <alignment horizontal="center" readingOrder="0" shrinkToFit="0" wrapText="1"/>
    </xf>
    <xf borderId="7" fillId="0" fontId="15" numFmtId="0" xfId="0" applyAlignment="1" applyBorder="1" applyFont="1">
      <alignment horizontal="center" readingOrder="0" shrinkToFit="0" wrapText="1"/>
    </xf>
    <xf borderId="7" fillId="8" fontId="15" numFmtId="0" xfId="0" applyAlignment="1" applyBorder="1" applyFill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5" fontId="5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 shrinkToFit="0" wrapText="1"/>
    </xf>
    <xf borderId="2" fillId="0" fontId="15" numFmtId="168" xfId="0" applyAlignment="1" applyBorder="1" applyFont="1" applyNumberFormat="1">
      <alignment horizontal="center" readingOrder="0" shrinkToFit="0" wrapText="1"/>
    </xf>
    <xf borderId="2" fillId="5" fontId="5" numFmtId="0" xfId="0" applyAlignment="1" applyBorder="1" applyFont="1">
      <alignment horizontal="center" shrinkToFit="0" wrapText="1"/>
    </xf>
    <xf borderId="7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center" shrinkToFit="0" wrapText="1"/>
    </xf>
    <xf borderId="3" fillId="0" fontId="15" numFmtId="168" xfId="0" applyAlignment="1" applyBorder="1" applyFont="1" applyNumberFormat="1">
      <alignment horizontal="center" readingOrder="0" shrinkToFit="0" wrapText="1"/>
    </xf>
    <xf borderId="8" fillId="0" fontId="5" numFmtId="0" xfId="0" applyAlignment="1" applyBorder="1" applyFont="1">
      <alignment horizontal="center" shrinkToFit="0" wrapText="1"/>
    </xf>
    <xf borderId="0" fillId="0" fontId="24" numFmtId="0" xfId="0" applyAlignment="1" applyFont="1">
      <alignment horizontal="center" shrinkToFit="0" wrapText="1"/>
    </xf>
    <xf borderId="0" fillId="5" fontId="5" numFmtId="0" xfId="0" applyAlignment="1" applyFont="1">
      <alignment horizontal="center" shrinkToFit="0" wrapText="1"/>
    </xf>
    <xf borderId="0" fillId="0" fontId="25" numFmtId="0" xfId="0" applyAlignment="1" applyFont="1">
      <alignment horizontal="left"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9" fontId="26" numFmtId="0" xfId="0" applyAlignment="1" applyBorder="1" applyFill="1" applyFont="1">
      <alignment readingOrder="0" shrinkToFit="0" vertical="center" wrapText="0"/>
    </xf>
    <xf borderId="5" fillId="9" fontId="27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shrinkToFit="0" vertical="center" wrapText="0"/>
    </xf>
    <xf borderId="0" fillId="0" fontId="22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0" fillId="0" fontId="28" numFmtId="167" xfId="0" applyAlignment="1" applyFont="1" applyNumberFormat="1">
      <alignment horizontal="center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2" fontId="28" numFmtId="0" xfId="0" applyAlignment="1" applyFont="1">
      <alignment horizontal="center" readingOrder="0" shrinkToFit="0" vertical="center" wrapText="1"/>
    </xf>
    <xf borderId="0" fillId="2" fontId="28" numFmtId="167" xfId="0" applyAlignment="1" applyFont="1" applyNumberFormat="1">
      <alignment horizontal="center" readingOrder="0" shrinkToFit="0" vertical="center" wrapText="1"/>
    </xf>
    <xf borderId="0" fillId="0" fontId="30" numFmtId="167" xfId="0" applyAlignment="1" applyFont="1" applyNumberFormat="1">
      <alignment horizontal="center"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28" numFmtId="169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9" numFmtId="167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29" numFmtId="170" xfId="0" applyAlignment="1" applyFont="1" applyNumberForma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170" xfId="0" applyAlignment="1" applyFont="1" applyNumberFormat="1">
      <alignment horizontal="center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5" numFmtId="167" xfId="0" applyAlignment="1" applyFont="1" applyNumberFormat="1">
      <alignment horizontal="center" readingOrder="0"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10">
    <tableStyle count="5" pivot="0" name="Family Expens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Monthly Expense -personal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Personal Fixed Expenditure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Friends Borrow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 Loan detail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Money handling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Borrowing or Goodwil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onfig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Future Financial Goals-style">
      <tableStyleElement dxfId="1" type="headerRow"/>
      <tableStyleElement dxfId="2" type="firstRowStripe"/>
      <tableStyleElement dxfId="6" type="secondRowStripe"/>
      <tableStyleElement dxfId="5" size="0" type="wholeTable"/>
    </tableStyle>
    <tableStyle count="4" pivot="0" name="Investments or Assets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Distribution of money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'Overall Monthly expenses'!$D$9</c:f>
            </c:strRef>
          </c:cat>
          <c:val>
            <c:numRef>
              <c:f>'Overall Monthly expenses'!$B$7:$B$11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sans-serif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Overview of expenses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'Overall Monthly expenses'!$H$12</c:f>
            </c:strRef>
          </c:cat>
          <c:val>
            <c:numRef>
              <c:f>'Overall Monthly expenses'!$B$9:$B$11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1C232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1238250</xdr:colOff>
      <xdr:row>5</xdr:row>
      <xdr:rowOff>180975</xdr:rowOff>
    </xdr:from>
    <xdr:ext cx="462915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609600</xdr:colOff>
      <xdr:row>6</xdr:row>
      <xdr:rowOff>323850</xdr:rowOff>
    </xdr:from>
    <xdr:ext cx="4419600" cy="2733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3" displayName="Table2" name="Table2" id="1">
  <tableColumns count="3">
    <tableColumn name="Name of Expenditure" id="1"/>
    <tableColumn totalsRowLabel="Total          =" name="Category" id="2"/>
    <tableColumn totalsRowFunction="custom" name="Amount(INR)" id="3"/>
  </tableColumns>
  <tableStyleInfo name="Family Expense-style" showColumnStripes="0" showFirstColumn="1" showLastColumn="1" showRowStripes="1"/>
</table>
</file>

<file path=xl/tables/table2.xml><?xml version="1.0" encoding="utf-8"?>
<table xmlns="http://schemas.openxmlformats.org/spreadsheetml/2006/main" ref="A1:I3" displayName="Monthly_expense_tracker" name="Monthly_expense_tracker" id="2">
  <tableColumns count="9">
    <tableColumn name="Date" id="1"/>
    <tableColumn name="Amount" id="2"/>
    <tableColumn name="Currency" id="3"/>
    <tableColumn name="Type" id="4"/>
    <tableColumn name="Purpose" id="5"/>
    <tableColumn name="Details" id="6"/>
    <tableColumn name="Paid from" id="7"/>
    <tableColumn name="Paid to" id="8"/>
    <tableColumn name="Column 8" id="9"/>
  </tableColumns>
  <tableStyleInfo name="Monthly Expense -personal-style" showColumnStripes="0" showFirstColumn="1" showLastColumn="1" showRowStripes="1"/>
</table>
</file>

<file path=xl/tables/table3.xml><?xml version="1.0" encoding="utf-8"?>
<table xmlns="http://schemas.openxmlformats.org/spreadsheetml/2006/main" ref="A1:G9" displayName="Table3" name="Table3" id="3">
  <tableColumns count="7">
    <tableColumn name="Name of Expenditure" id="1"/>
    <tableColumn name="Amount" id="2"/>
    <tableColumn name="Type of Expense" id="3"/>
    <tableColumn name="Number of Moths" id="4"/>
    <tableColumn name="Expiry" id="5"/>
    <tableColumn name="Any end" id="6"/>
    <tableColumn name="Total Amount" id="7"/>
  </tableColumns>
  <tableStyleInfo name="Personal Fixed Expenditure-style" showColumnStripes="0" showFirstColumn="1" showLastColumn="1" showRowStripes="1"/>
</table>
</file>

<file path=xl/tables/table4.xml><?xml version="1.0" encoding="utf-8"?>
<table xmlns="http://schemas.openxmlformats.org/spreadsheetml/2006/main" ref="A1:M15" displayName="Lend_Borrow_Records" name="Lend_Borrow_Records" id="4">
  <tableColumns count="13">
    <tableColumn name="Name" id="1"/>
    <tableColumn name="Amount" id="2"/>
    <tableColumn name="Type of Transaction" id="3"/>
    <tableColumn name="Person Name" id="4"/>
    <tableColumn name="Amount paid" id="5"/>
    <tableColumn name="Interest Rate" id="6"/>
    <tableColumn name="Start Date" id="7"/>
    <tableColumn name="End Date" id="8"/>
    <tableColumn name="Outstanding Amount" id="9"/>
    <tableColumn name="Tenure( months)" id="10"/>
    <tableColumn name="Purpose of loan" id="11"/>
    <tableColumn name="Mode" id="12"/>
    <tableColumn name="Settling Priority" id="13"/>
  </tableColumns>
  <tableStyleInfo name="Friends Borrow-style" showColumnStripes="0" showFirstColumn="1" showLastColumn="1" showRowStripes="1"/>
</table>
</file>

<file path=xl/tables/table5.xml><?xml version="1.0" encoding="utf-8"?>
<table xmlns="http://schemas.openxmlformats.org/spreadsheetml/2006/main" totalsRowCount="1" ref="A1:R5" displayName="Loan_Details" name="Loan_Details" id="5">
  <tableColumns count="18">
    <tableColumn name="Loan Name" id="1"/>
    <tableColumn totalsRowFunction="custom" name="Amount" id="2"/>
    <tableColumn name="Bank" id="3"/>
    <tableColumn name="Interest Rate" id="4"/>
    <tableColumn name="Start Date" id="5"/>
    <tableColumn totalsRowFunction="custom" name="End Date" id="6"/>
    <tableColumn name="Outstanding Amount" id="7"/>
    <tableColumn name="Tenure" id="8"/>
    <tableColumn name="Purpose of loan" id="9"/>
    <tableColumn totalsRowFunction="custom" name="EMI" id="10"/>
    <tableColumn totalsRowFunction="custom" name="Full Closure amount" id="11"/>
    <tableColumn name="Loan Account Number" id="12"/>
    <tableColumn name="Repayment Account Number" id="13"/>
    <tableColumn name="Mode" id="14"/>
    <tableColumn name="Date of emi" id="15"/>
    <tableColumn name="Closure Priority" id="16"/>
    <tableColumn name="Column 1" id="17"/>
    <tableColumn name="ToDo:" id="18"/>
  </tableColumns>
  <tableStyleInfo name=" Loan details-style" showColumnStripes="0" showFirstColumn="1" showLastColumn="1" showRowStripes="1"/>
</table>
</file>

<file path=xl/tables/table6.xml><?xml version="1.0" encoding="utf-8"?>
<table xmlns="http://schemas.openxmlformats.org/spreadsheetml/2006/main" totalsRowCount="1" ref="A1:D5" displayName="Payment_Allocations" name="Payment_Allocations" id="6">
  <tableColumns count="4">
    <tableColumn totalsRowFunction="custom" name="Amount" id="1"/>
    <tableColumn name="whom " id="2"/>
    <tableColumn name="why" id="3"/>
    <tableColumn totalsRowFunction="custom" name="priority" id="4"/>
  </tableColumns>
  <tableStyleInfo name="Money handling-style" showColumnStripes="0" showFirstColumn="1" showLastColumn="1" showRowStripes="1"/>
</table>
</file>

<file path=xl/tables/table7.xml><?xml version="1.0" encoding="utf-8"?>
<table xmlns="http://schemas.openxmlformats.org/spreadsheetml/2006/main" ref="A1:L11" displayName="Loan_Obligations_Tracking" name="Loan_Obligations_Tracking" id="7">
  <tableColumns count="12">
    <tableColumn name="Name" id="1"/>
    <tableColumn name="Amount" id="2"/>
    <tableColumn name="Type of Transaction" id="3"/>
    <tableColumn name="Person Name" id="4"/>
    <tableColumn name="Interest Rate" id="5"/>
    <tableColumn name="Start Date" id="6"/>
    <tableColumn name="End Date" id="7"/>
    <tableColumn name="Outstanding Amount" id="8"/>
    <tableColumn name="Tenure( months)" id="9"/>
    <tableColumn name="Purpose of loan" id="10"/>
    <tableColumn name="Mode" id="11"/>
    <tableColumn name="Settling Priority" id="12"/>
  </tableColumns>
  <tableStyleInfo name="Borrowing or Goodwil-style" showColumnStripes="0" showFirstColumn="1" showLastColumn="1" showRowStripes="1"/>
</table>
</file>

<file path=xl/tables/table8.xml><?xml version="1.0" encoding="utf-8"?>
<table xmlns="http://schemas.openxmlformats.org/spreadsheetml/2006/main" ref="A1:E17" displayName="Spend_Source_Priority" name="Spend_Source_Priority" id="8">
  <tableColumns count="5">
    <tableColumn name="Type of spend" id="1"/>
    <tableColumn name="Source of Borrowing" id="2"/>
    <tableColumn name="Type of Lending" id="3"/>
    <tableColumn name="Priority" id="4"/>
    <tableColumn name="Mode of payment" id="5"/>
  </tableColumns>
  <tableStyleInfo name="Config-style" showColumnStripes="0" showFirstColumn="1" showLastColumn="1" showRowStripes="1"/>
</table>
</file>

<file path=xl/tables/table9.xml><?xml version="1.0" encoding="utf-8"?>
<table xmlns="http://schemas.openxmlformats.org/spreadsheetml/2006/main" ref="A1:F11" displayName="Table1" name="Table1" id="9">
  <tableColumns count="6">
    <tableColumn name="Title of Goal" id="1"/>
    <tableColumn name="Start Date" id="2"/>
    <tableColumn name="End Date" id="3"/>
    <tableColumn name="Amount Required" id="4"/>
    <tableColumn name="Saving required per month" id="5"/>
    <tableColumn name="Priority" id="6"/>
  </tableColumns>
  <tableStyleInfo name="Future Financial Goals-style" showColumnStripes="0" showFirstColumn="1" showLastColumn="1" showRowStripes="1"/>
</table>
</file>

<file path=xl/tables/table10.xml><?xml version="1.0" encoding="utf-8"?>
<table xmlns="http://schemas.openxmlformats.org/spreadsheetml/2006/main" ref="A1:M2" displayName="Investments_or_Assets" name="Investments_or_Assets" id="10">
  <tableColumns count="13">
    <tableColumn name="Name " id="1"/>
    <tableColumn name="Type of Investment" id="2"/>
    <tableColumn name="Start Date" id="3"/>
    <tableColumn name="End Date" id="4"/>
    <tableColumn name="Amount" id="5"/>
    <tableColumn name="ROI( in %)" id="6"/>
    <tableColumn name="Income " id="7"/>
    <tableColumn name="Debit Type" id="8"/>
    <tableColumn name="Time of Debit" id="9"/>
    <tableColumn name="Account Number" id="10"/>
    <tableColumn name="Name of the Entity" id="11"/>
    <tableColumn name="Payment Cleared" id="12"/>
    <tableColumn name="Comments" id="13"/>
  </tableColumns>
  <tableStyleInfo name="Investments or Asse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9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25"/>
    <col customWidth="1" min="2" max="2" width="25.0"/>
    <col customWidth="1" min="3" max="3" width="16.88"/>
    <col customWidth="1" min="4" max="4" width="26.0"/>
    <col customWidth="1" min="7" max="7" width="17.0"/>
    <col customWidth="1" min="8" max="8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4">
        <v>1894.0</v>
      </c>
      <c r="C2" s="5" t="s">
        <v>9</v>
      </c>
      <c r="D2" s="5">
        <v>12.0</v>
      </c>
      <c r="E2" s="5" t="s">
        <v>10</v>
      </c>
      <c r="F2" s="6" t="s">
        <v>11</v>
      </c>
      <c r="G2" s="7">
        <f t="shared" ref="G2:G3" si="1"> B2 *D2</f>
        <v>22728</v>
      </c>
      <c r="H2" s="6" t="s">
        <v>12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9" t="s">
        <v>13</v>
      </c>
      <c r="B3" s="10">
        <v>17235.0</v>
      </c>
      <c r="C3" s="6" t="s">
        <v>9</v>
      </c>
      <c r="D3" s="6">
        <v>12.0</v>
      </c>
      <c r="E3" s="6" t="s">
        <v>14</v>
      </c>
      <c r="F3" s="6" t="s">
        <v>11</v>
      </c>
      <c r="G3" s="7">
        <f t="shared" si="1"/>
        <v>206820</v>
      </c>
      <c r="H3" s="6" t="s">
        <v>12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1" t="s">
        <v>15</v>
      </c>
      <c r="B7" s="11">
        <f>SUM(B2:B3)</f>
        <v>19129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2" t="s">
        <v>16</v>
      </c>
      <c r="B8" s="12">
        <v>126000.0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3" t="s">
        <v>17</v>
      </c>
      <c r="B9" s="14">
        <f>B8 - B7</f>
        <v>106871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15" t="s">
        <v>18</v>
      </c>
      <c r="B10" s="15">
        <f>SUM(B2:B3)</f>
        <v>19129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5" t="s">
        <v>19</v>
      </c>
      <c r="B11" s="16">
        <f>SUM(0)</f>
        <v>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7" t="s">
        <v>20</v>
      </c>
      <c r="B15" s="17" t="s">
        <v>21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17" t="s">
        <v>22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7" t="s">
        <v>23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7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7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7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7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7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7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7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7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17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</sheetData>
  <dataValidations>
    <dataValidation type="list" allowBlank="1" showErrorMessage="1" sqref="F2:F3">
      <formula1>"No,After some time,Yes"</formula1>
    </dataValidation>
    <dataValidation type="list" allowBlank="1" showErrorMessage="1" sqref="H2:H3">
      <formula1>"Need,Loan,Investments,Want,Miscellaneous"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7.75"/>
    <col customWidth="1" min="2" max="2" width="19.75"/>
    <col customWidth="1" min="3" max="3" width="22.75"/>
    <col customWidth="1" min="4" max="4" width="13.38"/>
  </cols>
  <sheetData>
    <row r="1" ht="22.5" customHeight="1">
      <c r="A1" s="18" t="s">
        <v>0</v>
      </c>
      <c r="B1" s="18" t="s">
        <v>33</v>
      </c>
      <c r="C1" s="18" t="s">
        <v>34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2.5" customHeight="1">
      <c r="A2" s="20" t="s">
        <v>35</v>
      </c>
      <c r="B2" s="21" t="s">
        <v>36</v>
      </c>
      <c r="C2" s="22">
        <v>1600.0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2.5" customHeight="1">
      <c r="A3" s="20" t="s">
        <v>37</v>
      </c>
      <c r="B3" s="21" t="s">
        <v>38</v>
      </c>
      <c r="C3" s="24">
        <v>4600.0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22.5" customHeight="1">
      <c r="A4" s="20" t="s">
        <v>39</v>
      </c>
      <c r="B4" s="21" t="s">
        <v>36</v>
      </c>
      <c r="C4" s="24">
        <v>2100.0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22.5" customHeight="1">
      <c r="A5" s="20" t="s">
        <v>40</v>
      </c>
      <c r="B5" s="21" t="s">
        <v>41</v>
      </c>
      <c r="C5" s="24">
        <v>10000.0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22.5" customHeight="1">
      <c r="A6" s="20" t="s">
        <v>42</v>
      </c>
      <c r="B6" s="21" t="s">
        <v>41</v>
      </c>
      <c r="C6" s="24">
        <v>4500.0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22.5" customHeight="1">
      <c r="A7" s="20" t="s">
        <v>43</v>
      </c>
      <c r="B7" s="21" t="s">
        <v>41</v>
      </c>
      <c r="C7" s="24">
        <v>1000.0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22.5" customHeight="1">
      <c r="A8" s="20" t="s">
        <v>44</v>
      </c>
      <c r="B8" s="21" t="s">
        <v>41</v>
      </c>
      <c r="C8" s="24">
        <v>3000.0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22.5" customHeight="1">
      <c r="A9" s="20" t="s">
        <v>45</v>
      </c>
      <c r="B9" s="21" t="s">
        <v>36</v>
      </c>
      <c r="C9" s="24">
        <v>5000.0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22.5" customHeight="1">
      <c r="A10" s="20" t="s">
        <v>46</v>
      </c>
      <c r="B10" s="21" t="s">
        <v>36</v>
      </c>
      <c r="C10" s="24">
        <v>1600.0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22.5" customHeight="1">
      <c r="A11" s="20" t="s">
        <v>47</v>
      </c>
      <c r="B11" s="21" t="s">
        <v>36</v>
      </c>
      <c r="C11" s="24">
        <v>1500.0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22.5" customHeight="1">
      <c r="A12" s="20" t="s">
        <v>48</v>
      </c>
      <c r="B12" s="25" t="s">
        <v>36</v>
      </c>
      <c r="C12" s="24">
        <v>600.0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22.5" customHeight="1">
      <c r="A13" s="26"/>
      <c r="B13" s="27" t="s">
        <v>49</v>
      </c>
      <c r="C13" s="28">
        <f>SUM(C2:C12)</f>
        <v>35500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9"/>
      <c r="B14" s="29"/>
      <c r="C14" s="29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30"/>
      <c r="B15" s="29"/>
      <c r="C15" s="30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30"/>
      <c r="B16" s="29"/>
      <c r="C16" s="30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ataValidations>
    <dataValidation type="list" allowBlank="1" showErrorMessage="1" sqref="B2:B12">
      <formula1>"Utility,EMI,Food"</formula1>
    </dataValidation>
    <dataValidation type="custom" allowBlank="1" showDropDown="1" sqref="C2:C1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2.75"/>
  </cols>
  <sheetData>
    <row r="1" ht="22.5" customHeight="1">
      <c r="A1" s="31" t="s">
        <v>50</v>
      </c>
      <c r="B1" s="31" t="s">
        <v>1</v>
      </c>
      <c r="C1" s="32" t="s">
        <v>51</v>
      </c>
      <c r="D1" s="32" t="s">
        <v>52</v>
      </c>
      <c r="E1" s="31" t="s">
        <v>53</v>
      </c>
      <c r="F1" s="31" t="s">
        <v>54</v>
      </c>
      <c r="G1" s="31" t="s">
        <v>55</v>
      </c>
      <c r="H1" s="31" t="s">
        <v>56</v>
      </c>
      <c r="I1" s="33" t="s">
        <v>57</v>
      </c>
      <c r="J1" s="34"/>
    </row>
    <row r="2" ht="22.5" customHeight="1">
      <c r="A2" s="35" t="s">
        <v>58</v>
      </c>
      <c r="B2" s="35">
        <v>60000.0</v>
      </c>
      <c r="C2" s="35" t="s">
        <v>59</v>
      </c>
      <c r="D2" s="36" t="s">
        <v>60</v>
      </c>
      <c r="E2" s="35" t="s">
        <v>61</v>
      </c>
      <c r="F2" s="35" t="s">
        <v>62</v>
      </c>
      <c r="G2" s="35" t="s">
        <v>63</v>
      </c>
      <c r="H2" s="35" t="s">
        <v>64</v>
      </c>
      <c r="J2" s="34"/>
    </row>
    <row r="3" ht="22.5" customHeight="1">
      <c r="A3" s="35" t="s">
        <v>65</v>
      </c>
      <c r="B3" s="35">
        <v>10000.0</v>
      </c>
      <c r="C3" s="35" t="s">
        <v>59</v>
      </c>
      <c r="D3" s="36" t="s">
        <v>66</v>
      </c>
      <c r="E3" s="35" t="s">
        <v>67</v>
      </c>
      <c r="F3" s="35" t="s">
        <v>68</v>
      </c>
      <c r="G3" s="35" t="s">
        <v>63</v>
      </c>
      <c r="H3" s="35" t="s">
        <v>69</v>
      </c>
      <c r="I3" s="37"/>
      <c r="J3" s="34"/>
    </row>
    <row r="4">
      <c r="J4" s="34"/>
    </row>
    <row r="5">
      <c r="J5" s="34"/>
    </row>
    <row r="6">
      <c r="J6" s="34"/>
    </row>
    <row r="7">
      <c r="J7" s="34"/>
    </row>
    <row r="8">
      <c r="J8" s="34"/>
    </row>
    <row r="9">
      <c r="J9" s="34"/>
    </row>
    <row r="10">
      <c r="J10" s="34"/>
    </row>
    <row r="11">
      <c r="J11" s="34"/>
    </row>
    <row r="12">
      <c r="J12" s="34"/>
    </row>
    <row r="13">
      <c r="J13" s="34"/>
    </row>
    <row r="14">
      <c r="J14" s="34"/>
    </row>
    <row r="15">
      <c r="J15" s="34"/>
    </row>
    <row r="16">
      <c r="J16" s="34"/>
    </row>
    <row r="17">
      <c r="J17" s="34"/>
    </row>
    <row r="18">
      <c r="J18" s="34"/>
    </row>
    <row r="19">
      <c r="J19" s="38"/>
    </row>
    <row r="20">
      <c r="J20" s="38"/>
    </row>
    <row r="21">
      <c r="J21" s="38"/>
    </row>
    <row r="22">
      <c r="J22" s="38"/>
    </row>
    <row r="23">
      <c r="J23" s="38"/>
    </row>
    <row r="24">
      <c r="J24" s="38"/>
    </row>
    <row r="25">
      <c r="J25" s="38"/>
    </row>
    <row r="26">
      <c r="J26" s="38"/>
    </row>
    <row r="27">
      <c r="J27" s="38"/>
    </row>
    <row r="28">
      <c r="J28" s="38"/>
    </row>
    <row r="29">
      <c r="J29" s="38"/>
    </row>
    <row r="30">
      <c r="J30" s="38"/>
    </row>
    <row r="31">
      <c r="J31" s="38"/>
    </row>
    <row r="32">
      <c r="J32" s="38"/>
    </row>
  </sheetData>
  <dataValidations>
    <dataValidation type="list" allowBlank="1" sqref="D2:D3">
      <formula1>"Needs,Wants,Luxary,Miscellaneous,Travel,Food,Entertainment,Health"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2" width="20.25"/>
    <col customWidth="1" min="3" max="3" width="24.88"/>
    <col customWidth="1" min="4" max="4" width="18.25"/>
    <col customWidth="1" min="5" max="5" width="20.38"/>
    <col customWidth="1" min="6" max="6" width="17.88"/>
    <col customWidth="1" min="7" max="7" width="21.25"/>
  </cols>
  <sheetData>
    <row r="1" ht="22.5" customHeight="1">
      <c r="A1" s="39" t="s">
        <v>0</v>
      </c>
      <c r="B1" s="39" t="s">
        <v>1</v>
      </c>
      <c r="C1" s="39" t="s">
        <v>2</v>
      </c>
      <c r="D1" s="39" t="s">
        <v>70</v>
      </c>
      <c r="E1" s="39" t="s">
        <v>4</v>
      </c>
      <c r="F1" s="39" t="s">
        <v>5</v>
      </c>
      <c r="G1" s="39" t="s">
        <v>6</v>
      </c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</row>
    <row r="2" ht="22.5" customHeight="1">
      <c r="A2" s="41" t="s">
        <v>71</v>
      </c>
      <c r="B2" s="42">
        <v>3000.0</v>
      </c>
      <c r="C2" s="42" t="s">
        <v>72</v>
      </c>
      <c r="D2" s="42">
        <v>12.0</v>
      </c>
      <c r="E2" s="42" t="s">
        <v>73</v>
      </c>
      <c r="F2" s="42" t="s">
        <v>74</v>
      </c>
      <c r="G2" s="43">
        <f t="shared" ref="G2:G7" si="1"> B2 *D2</f>
        <v>36000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ht="22.5" customHeight="1">
      <c r="A3" s="41" t="s">
        <v>75</v>
      </c>
      <c r="B3" s="42">
        <v>1000.0</v>
      </c>
      <c r="C3" s="42" t="s">
        <v>76</v>
      </c>
      <c r="D3" s="42">
        <v>12.0</v>
      </c>
      <c r="E3" s="42" t="s">
        <v>77</v>
      </c>
      <c r="F3" s="42" t="s">
        <v>11</v>
      </c>
      <c r="G3" s="43">
        <f t="shared" si="1"/>
        <v>12000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</row>
    <row r="4" ht="22.5" customHeight="1">
      <c r="A4" s="41" t="s">
        <v>78</v>
      </c>
      <c r="B4" s="42">
        <v>18000.0</v>
      </c>
      <c r="C4" s="42" t="s">
        <v>79</v>
      </c>
      <c r="D4" s="42">
        <v>12.0</v>
      </c>
      <c r="E4" s="42" t="s">
        <v>73</v>
      </c>
      <c r="F4" s="42" t="s">
        <v>80</v>
      </c>
      <c r="G4" s="43">
        <f t="shared" si="1"/>
        <v>216000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</row>
    <row r="5" ht="22.5" customHeight="1">
      <c r="A5" s="41" t="s">
        <v>81</v>
      </c>
      <c r="B5" s="42">
        <v>3000.0</v>
      </c>
      <c r="C5" s="42" t="s">
        <v>82</v>
      </c>
      <c r="D5" s="42">
        <v>12.0</v>
      </c>
      <c r="E5" s="42" t="s">
        <v>77</v>
      </c>
      <c r="F5" s="42" t="s">
        <v>80</v>
      </c>
      <c r="G5" s="43">
        <f t="shared" si="1"/>
        <v>36000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</row>
    <row r="6" ht="22.5" customHeight="1">
      <c r="A6" s="41" t="s">
        <v>83</v>
      </c>
      <c r="B6" s="43">
        <f>1500</f>
        <v>1500</v>
      </c>
      <c r="C6" s="42" t="s">
        <v>84</v>
      </c>
      <c r="D6" s="42">
        <v>12.0</v>
      </c>
      <c r="E6" s="42" t="s">
        <v>77</v>
      </c>
      <c r="F6" s="42" t="s">
        <v>80</v>
      </c>
      <c r="G6" s="43">
        <f t="shared" si="1"/>
        <v>18000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</row>
    <row r="7" ht="22.5" customHeight="1">
      <c r="A7" s="45" t="s">
        <v>61</v>
      </c>
      <c r="B7" s="45">
        <v>36000.0</v>
      </c>
      <c r="C7" s="46" t="s">
        <v>85</v>
      </c>
      <c r="D7" s="42">
        <v>12.0</v>
      </c>
      <c r="E7" s="42" t="s">
        <v>77</v>
      </c>
      <c r="F7" s="42" t="s">
        <v>80</v>
      </c>
      <c r="G7" s="43">
        <f t="shared" si="1"/>
        <v>432000</v>
      </c>
    </row>
    <row r="8" ht="22.5" customHeight="1">
      <c r="A8" s="43"/>
      <c r="B8" s="43"/>
      <c r="C8" s="43"/>
      <c r="D8" s="43"/>
      <c r="E8" s="43"/>
      <c r="F8" s="43"/>
      <c r="G8" s="43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</row>
    <row r="9" ht="22.5" customHeight="1">
      <c r="A9" s="47" t="s">
        <v>15</v>
      </c>
      <c r="B9" s="48">
        <f> SUM(B2:B6)</f>
        <v>26500</v>
      </c>
      <c r="C9" s="43"/>
      <c r="D9" s="43">
        <f>B9*D3</f>
        <v>318000</v>
      </c>
      <c r="E9" s="43"/>
      <c r="F9" s="43"/>
      <c r="G9" s="43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</row>
  </sheetData>
  <dataValidations>
    <dataValidation type="list" allowBlank="1" showInputMessage="1" prompt="Click and enter a value from range" sqref="C2:C8 C302:C993">
      <formula1>Config!$A$2:$A$17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49" t="s">
        <v>86</v>
      </c>
      <c r="B1" s="49" t="s">
        <v>1</v>
      </c>
      <c r="C1" s="49" t="s">
        <v>87</v>
      </c>
      <c r="D1" s="49" t="s">
        <v>88</v>
      </c>
      <c r="E1" s="50" t="s">
        <v>89</v>
      </c>
      <c r="F1" s="49" t="s">
        <v>90</v>
      </c>
      <c r="G1" s="49" t="s">
        <v>91</v>
      </c>
      <c r="H1" s="49" t="s">
        <v>92</v>
      </c>
      <c r="I1" s="49" t="s">
        <v>93</v>
      </c>
      <c r="J1" s="49" t="s">
        <v>94</v>
      </c>
      <c r="K1" s="49" t="s">
        <v>95</v>
      </c>
      <c r="L1" s="49" t="s">
        <v>96</v>
      </c>
      <c r="M1" s="49" t="s">
        <v>97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ht="22.5" customHeight="1">
      <c r="A2" s="52" t="s">
        <v>98</v>
      </c>
      <c r="B2" s="52">
        <v>20000.0</v>
      </c>
      <c r="C2" s="53" t="s">
        <v>99</v>
      </c>
      <c r="D2" s="52" t="s">
        <v>100</v>
      </c>
      <c r="E2" s="52">
        <v>0.0</v>
      </c>
      <c r="F2" s="52">
        <v>0.0</v>
      </c>
      <c r="G2" s="52" t="s">
        <v>101</v>
      </c>
      <c r="H2" s="52" t="s">
        <v>101</v>
      </c>
      <c r="I2" s="52">
        <f t="shared" ref="I2:I15" si="1"> B2 - E2</f>
        <v>20000</v>
      </c>
      <c r="J2" s="52" t="s">
        <v>101</v>
      </c>
      <c r="K2" s="52" t="s">
        <v>102</v>
      </c>
      <c r="L2" s="52" t="s">
        <v>103</v>
      </c>
      <c r="M2" s="53" t="s">
        <v>104</v>
      </c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ht="22.5" customHeight="1">
      <c r="A3" s="54" t="s">
        <v>105</v>
      </c>
      <c r="B3" s="54">
        <v>2500.0</v>
      </c>
      <c r="C3" s="53" t="s">
        <v>99</v>
      </c>
      <c r="D3" s="52" t="s">
        <v>100</v>
      </c>
      <c r="E3" s="52">
        <v>0.0</v>
      </c>
      <c r="F3" s="52">
        <v>0.0</v>
      </c>
      <c r="G3" s="52" t="s">
        <v>101</v>
      </c>
      <c r="H3" s="52" t="s">
        <v>101</v>
      </c>
      <c r="I3" s="55">
        <f t="shared" si="1"/>
        <v>2500</v>
      </c>
      <c r="J3" s="55"/>
      <c r="K3" s="55"/>
      <c r="L3" s="55"/>
      <c r="M3" s="55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ht="22.5" customHeight="1">
      <c r="A4" s="54" t="s">
        <v>106</v>
      </c>
      <c r="B4" s="54">
        <v>1500.0</v>
      </c>
      <c r="C4" s="53" t="s">
        <v>99</v>
      </c>
      <c r="D4" s="52" t="s">
        <v>100</v>
      </c>
      <c r="E4" s="52">
        <v>0.0</v>
      </c>
      <c r="F4" s="52">
        <v>0.0</v>
      </c>
      <c r="G4" s="52" t="s">
        <v>101</v>
      </c>
      <c r="H4" s="52" t="s">
        <v>101</v>
      </c>
      <c r="I4" s="55">
        <f t="shared" si="1"/>
        <v>1500</v>
      </c>
      <c r="J4" s="55"/>
      <c r="K4" s="55"/>
      <c r="L4" s="55"/>
      <c r="M4" s="55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ht="22.5" customHeight="1">
      <c r="A5" s="54" t="s">
        <v>107</v>
      </c>
      <c r="B5" s="54">
        <v>13000.0</v>
      </c>
      <c r="C5" s="53" t="s">
        <v>99</v>
      </c>
      <c r="D5" s="52" t="s">
        <v>100</v>
      </c>
      <c r="E5" s="52">
        <v>0.0</v>
      </c>
      <c r="F5" s="52">
        <v>0.0</v>
      </c>
      <c r="G5" s="52" t="s">
        <v>101</v>
      </c>
      <c r="H5" s="52" t="s">
        <v>101</v>
      </c>
      <c r="I5" s="55">
        <f t="shared" si="1"/>
        <v>13000</v>
      </c>
      <c r="J5" s="55"/>
      <c r="K5" s="55"/>
      <c r="L5" s="55"/>
      <c r="M5" s="55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ht="22.5" customHeight="1">
      <c r="A6" s="54" t="s">
        <v>108</v>
      </c>
      <c r="B6" s="54">
        <v>10000.0</v>
      </c>
      <c r="C6" s="53" t="s">
        <v>99</v>
      </c>
      <c r="D6" s="52" t="s">
        <v>100</v>
      </c>
      <c r="E6" s="52">
        <v>0.0</v>
      </c>
      <c r="F6" s="52">
        <v>0.0</v>
      </c>
      <c r="G6" s="52" t="s">
        <v>101</v>
      </c>
      <c r="H6" s="52" t="s">
        <v>101</v>
      </c>
      <c r="I6" s="55">
        <f t="shared" si="1"/>
        <v>10000</v>
      </c>
      <c r="J6" s="55"/>
      <c r="K6" s="55"/>
      <c r="L6" s="55"/>
      <c r="M6" s="55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22.5" customHeight="1">
      <c r="A7" s="54" t="s">
        <v>109</v>
      </c>
      <c r="B7" s="54">
        <v>45000.0</v>
      </c>
      <c r="C7" s="53" t="s">
        <v>99</v>
      </c>
      <c r="D7" s="52" t="s">
        <v>100</v>
      </c>
      <c r="E7" s="52">
        <v>0.0</v>
      </c>
      <c r="F7" s="52">
        <v>0.0</v>
      </c>
      <c r="G7" s="52" t="s">
        <v>101</v>
      </c>
      <c r="H7" s="52" t="s">
        <v>101</v>
      </c>
      <c r="I7" s="55">
        <f t="shared" si="1"/>
        <v>45000</v>
      </c>
      <c r="J7" s="55"/>
      <c r="K7" s="55"/>
      <c r="L7" s="55"/>
      <c r="M7" s="55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ht="22.5" customHeight="1">
      <c r="A8" s="54" t="s">
        <v>110</v>
      </c>
      <c r="B8" s="54">
        <v>12000.0</v>
      </c>
      <c r="C8" s="53" t="s">
        <v>99</v>
      </c>
      <c r="D8" s="52" t="s">
        <v>100</v>
      </c>
      <c r="E8" s="52">
        <v>0.0</v>
      </c>
      <c r="F8" s="52">
        <v>0.0</v>
      </c>
      <c r="G8" s="52" t="s">
        <v>101</v>
      </c>
      <c r="H8" s="52" t="s">
        <v>101</v>
      </c>
      <c r="I8" s="55">
        <f t="shared" si="1"/>
        <v>12000</v>
      </c>
      <c r="J8" s="55"/>
      <c r="K8" s="55"/>
      <c r="L8" s="55"/>
      <c r="M8" s="55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ht="22.5" customHeight="1">
      <c r="A9" s="54" t="s">
        <v>111</v>
      </c>
      <c r="B9" s="56">
        <v>13000.0</v>
      </c>
      <c r="C9" s="53" t="s">
        <v>99</v>
      </c>
      <c r="D9" s="52" t="s">
        <v>100</v>
      </c>
      <c r="E9" s="52">
        <v>0.0</v>
      </c>
      <c r="F9" s="52">
        <v>0.0</v>
      </c>
      <c r="G9" s="52" t="s">
        <v>101</v>
      </c>
      <c r="H9" s="52" t="s">
        <v>101</v>
      </c>
      <c r="I9" s="55">
        <f t="shared" si="1"/>
        <v>13000</v>
      </c>
      <c r="J9" s="55"/>
      <c r="K9" s="55"/>
      <c r="L9" s="55"/>
      <c r="M9" s="55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ht="22.5" customHeight="1">
      <c r="A10" s="57" t="s">
        <v>112</v>
      </c>
      <c r="B10" s="58">
        <v>24000.0</v>
      </c>
      <c r="C10" s="59" t="s">
        <v>99</v>
      </c>
      <c r="D10" s="60" t="s">
        <v>100</v>
      </c>
      <c r="E10" s="52">
        <v>0.0</v>
      </c>
      <c r="F10" s="60">
        <v>0.0</v>
      </c>
      <c r="G10" s="60" t="s">
        <v>101</v>
      </c>
      <c r="H10" s="60" t="s">
        <v>101</v>
      </c>
      <c r="I10" s="61">
        <f t="shared" si="1"/>
        <v>24000</v>
      </c>
      <c r="J10" s="61"/>
      <c r="K10" s="61"/>
      <c r="L10" s="61"/>
      <c r="M10" s="6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ht="22.5" customHeight="1">
      <c r="A11" s="57" t="s">
        <v>113</v>
      </c>
      <c r="B11" s="58">
        <v>18000.0</v>
      </c>
      <c r="C11" s="59" t="s">
        <v>99</v>
      </c>
      <c r="D11" s="60" t="s">
        <v>100</v>
      </c>
      <c r="E11" s="52">
        <v>0.0</v>
      </c>
      <c r="F11" s="60">
        <v>0.0</v>
      </c>
      <c r="G11" s="60" t="s">
        <v>101</v>
      </c>
      <c r="H11" s="60" t="s">
        <v>101</v>
      </c>
      <c r="I11" s="61">
        <f t="shared" si="1"/>
        <v>18000</v>
      </c>
      <c r="J11" s="61"/>
      <c r="K11" s="61"/>
      <c r="L11" s="61"/>
      <c r="M11" s="6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ht="22.5" customHeight="1">
      <c r="A12" s="57" t="s">
        <v>114</v>
      </c>
      <c r="B12" s="58">
        <v>20000.0</v>
      </c>
      <c r="C12" s="59" t="s">
        <v>99</v>
      </c>
      <c r="D12" s="60" t="s">
        <v>100</v>
      </c>
      <c r="E12" s="52">
        <v>0.0</v>
      </c>
      <c r="F12" s="60">
        <v>0.0</v>
      </c>
      <c r="G12" s="60" t="s">
        <v>101</v>
      </c>
      <c r="H12" s="60" t="s">
        <v>101</v>
      </c>
      <c r="I12" s="61">
        <f t="shared" si="1"/>
        <v>20000</v>
      </c>
      <c r="J12" s="61"/>
      <c r="K12" s="61"/>
      <c r="L12" s="61"/>
      <c r="M12" s="6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ht="22.5" customHeight="1">
      <c r="A13" s="57" t="s">
        <v>115</v>
      </c>
      <c r="B13" s="58">
        <v>5000.0</v>
      </c>
      <c r="C13" s="59" t="s">
        <v>99</v>
      </c>
      <c r="D13" s="60" t="s">
        <v>100</v>
      </c>
      <c r="E13" s="52">
        <v>0.0</v>
      </c>
      <c r="F13" s="60">
        <v>0.0</v>
      </c>
      <c r="G13" s="60" t="s">
        <v>101</v>
      </c>
      <c r="H13" s="60" t="s">
        <v>101</v>
      </c>
      <c r="I13" s="61">
        <f t="shared" si="1"/>
        <v>5000</v>
      </c>
      <c r="J13" s="61"/>
      <c r="K13" s="61"/>
      <c r="L13" s="61"/>
      <c r="M13" s="6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ht="22.5" customHeight="1">
      <c r="A14" s="57" t="s">
        <v>116</v>
      </c>
      <c r="B14" s="58">
        <v>2000.0</v>
      </c>
      <c r="C14" s="59" t="s">
        <v>99</v>
      </c>
      <c r="D14" s="60" t="s">
        <v>100</v>
      </c>
      <c r="E14" s="52">
        <v>0.0</v>
      </c>
      <c r="F14" s="60">
        <v>0.0</v>
      </c>
      <c r="G14" s="60" t="s">
        <v>101</v>
      </c>
      <c r="H14" s="60" t="s">
        <v>101</v>
      </c>
      <c r="I14" s="61">
        <f t="shared" si="1"/>
        <v>2000</v>
      </c>
      <c r="J14" s="61"/>
      <c r="K14" s="61"/>
      <c r="L14" s="61"/>
      <c r="M14" s="6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ht="22.5" customHeight="1">
      <c r="A15" s="57" t="s">
        <v>117</v>
      </c>
      <c r="B15" s="58">
        <v>2000.0</v>
      </c>
      <c r="C15" s="59" t="s">
        <v>99</v>
      </c>
      <c r="D15" s="60" t="s">
        <v>100</v>
      </c>
      <c r="E15" s="52">
        <v>0.0</v>
      </c>
      <c r="F15" s="60">
        <v>0.0</v>
      </c>
      <c r="G15" s="60" t="s">
        <v>101</v>
      </c>
      <c r="H15" s="60" t="s">
        <v>101</v>
      </c>
      <c r="I15" s="61">
        <f t="shared" si="1"/>
        <v>2000</v>
      </c>
      <c r="J15" s="61"/>
      <c r="K15" s="61"/>
      <c r="L15" s="61"/>
      <c r="M15" s="6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  <row r="998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</row>
    <row r="999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</row>
    <row r="1000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</row>
  </sheetData>
  <dataValidations>
    <dataValidation type="list" allowBlank="1" showErrorMessage="1" sqref="C2:C15">
      <formula1>"Goodwill,Borrowing"</formula1>
    </dataValidation>
    <dataValidation type="list" allowBlank="1" showErrorMessage="1" sqref="M2">
      <formula1>"Low,High,Medium"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5.75"/>
    <col customWidth="1" min="3" max="3" width="12.75"/>
    <col customWidth="1" min="5" max="5" width="13.13"/>
    <col customWidth="1" min="6" max="6" width="12.75"/>
    <col customWidth="1" min="7" max="7" width="20.63"/>
    <col customWidth="1" min="9" max="9" width="19.38"/>
    <col customWidth="1" min="10" max="10" width="12.75"/>
    <col customWidth="1" min="11" max="11" width="19.38"/>
    <col customWidth="1" min="12" max="12" width="19.5"/>
    <col customWidth="1" min="13" max="13" width="20.88"/>
    <col customWidth="1" min="15" max="15" width="16.5"/>
  </cols>
  <sheetData>
    <row r="1" ht="22.5" customHeight="1">
      <c r="A1" s="49" t="s">
        <v>118</v>
      </c>
      <c r="B1" s="49" t="s">
        <v>1</v>
      </c>
      <c r="C1" s="49" t="s">
        <v>119</v>
      </c>
      <c r="D1" s="49" t="s">
        <v>90</v>
      </c>
      <c r="E1" s="49" t="s">
        <v>91</v>
      </c>
      <c r="F1" s="49" t="s">
        <v>92</v>
      </c>
      <c r="G1" s="49" t="s">
        <v>93</v>
      </c>
      <c r="H1" s="49" t="s">
        <v>120</v>
      </c>
      <c r="I1" s="49" t="s">
        <v>95</v>
      </c>
      <c r="J1" s="49" t="s">
        <v>38</v>
      </c>
      <c r="K1" s="49" t="s">
        <v>121</v>
      </c>
      <c r="L1" s="49" t="s">
        <v>122</v>
      </c>
      <c r="M1" s="49" t="s">
        <v>123</v>
      </c>
      <c r="N1" s="49" t="s">
        <v>96</v>
      </c>
      <c r="O1" s="49" t="s">
        <v>124</v>
      </c>
      <c r="P1" s="62" t="s">
        <v>125</v>
      </c>
      <c r="Q1" s="63" t="s">
        <v>126</v>
      </c>
      <c r="R1" s="62" t="s">
        <v>127</v>
      </c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</row>
    <row r="2" ht="74.25" customHeight="1">
      <c r="A2" s="65" t="s">
        <v>128</v>
      </c>
      <c r="B2" s="66">
        <v>89000.0</v>
      </c>
      <c r="C2" s="67" t="s">
        <v>129</v>
      </c>
      <c r="D2" s="67">
        <v>15.01</v>
      </c>
      <c r="E2" s="68">
        <v>45324.0</v>
      </c>
      <c r="F2" s="69">
        <f t="shared" ref="F2:F5" si="1">E2 + H2*30</f>
        <v>47484</v>
      </c>
      <c r="G2" s="67">
        <v>84000.0</v>
      </c>
      <c r="H2" s="67">
        <v>72.0</v>
      </c>
      <c r="I2" s="67" t="s">
        <v>130</v>
      </c>
      <c r="J2" s="66">
        <v>1894.0</v>
      </c>
      <c r="K2" s="66">
        <f t="shared" ref="K2:K4" si="2">  J2*(INT((F2 - TODAY())/30))</f>
        <v>85230</v>
      </c>
      <c r="L2" s="67" t="s">
        <v>131</v>
      </c>
      <c r="M2" s="67">
        <v>9.22010018526213E14</v>
      </c>
      <c r="N2" s="67" t="s">
        <v>132</v>
      </c>
      <c r="O2" s="67" t="s">
        <v>133</v>
      </c>
      <c r="P2" s="70" t="s">
        <v>134</v>
      </c>
      <c r="Q2" s="71"/>
      <c r="R2" s="72" t="s">
        <v>135</v>
      </c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</row>
    <row r="3" ht="62.25" customHeight="1">
      <c r="A3" s="65" t="s">
        <v>136</v>
      </c>
      <c r="B3" s="66">
        <v>1600000.0</v>
      </c>
      <c r="C3" s="67" t="s">
        <v>137</v>
      </c>
      <c r="D3" s="67">
        <v>10.8</v>
      </c>
      <c r="E3" s="68">
        <v>45632.0</v>
      </c>
      <c r="F3" s="69">
        <f t="shared" si="1"/>
        <v>47432</v>
      </c>
      <c r="G3" s="67">
        <v>378216.0</v>
      </c>
      <c r="H3" s="67">
        <v>60.0</v>
      </c>
      <c r="I3" s="67" t="s">
        <v>138</v>
      </c>
      <c r="J3" s="66">
        <v>34629.0</v>
      </c>
      <c r="K3" s="66">
        <f t="shared" si="2"/>
        <v>1489047</v>
      </c>
      <c r="L3" s="74"/>
      <c r="M3" s="74"/>
      <c r="N3" s="67" t="s">
        <v>132</v>
      </c>
      <c r="O3" s="67" t="s">
        <v>139</v>
      </c>
      <c r="P3" s="75" t="s">
        <v>140</v>
      </c>
      <c r="Q3" s="71"/>
      <c r="R3" s="72" t="s">
        <v>141</v>
      </c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</row>
    <row r="4" ht="22.5" customHeight="1">
      <c r="A4" s="76" t="s">
        <v>142</v>
      </c>
      <c r="B4" s="66">
        <v>885000.0</v>
      </c>
      <c r="C4" s="67" t="s">
        <v>143</v>
      </c>
      <c r="D4" s="67">
        <v>8.75</v>
      </c>
      <c r="E4" s="68">
        <v>43320.0</v>
      </c>
      <c r="F4" s="69">
        <f t="shared" si="1"/>
        <v>50880</v>
      </c>
      <c r="G4" s="67">
        <v>722533.0</v>
      </c>
      <c r="H4" s="67">
        <v>252.0</v>
      </c>
      <c r="I4" s="67" t="s">
        <v>144</v>
      </c>
      <c r="J4" s="66">
        <v>9500.0</v>
      </c>
      <c r="K4" s="66">
        <f t="shared" si="2"/>
        <v>1501000</v>
      </c>
      <c r="L4" s="67" t="s">
        <v>145</v>
      </c>
      <c r="M4" s="67" t="s">
        <v>146</v>
      </c>
      <c r="N4" s="67" t="s">
        <v>147</v>
      </c>
      <c r="O4" s="67" t="s">
        <v>101</v>
      </c>
      <c r="P4" s="72" t="s">
        <v>148</v>
      </c>
      <c r="Q4" s="77" t="s">
        <v>149</v>
      </c>
      <c r="R4" s="72" t="s">
        <v>150</v>
      </c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</row>
    <row r="5" ht="22.5" customHeight="1">
      <c r="A5" s="71"/>
      <c r="B5" s="78">
        <f>SUM(Loan_Details[Amount])</f>
        <v>2574000</v>
      </c>
      <c r="C5" s="71"/>
      <c r="D5" s="71"/>
      <c r="E5" s="71"/>
      <c r="F5" s="74">
        <f t="shared" si="1"/>
        <v>0</v>
      </c>
      <c r="G5" s="71"/>
      <c r="H5" s="71"/>
      <c r="I5" s="71"/>
      <c r="J5" s="78">
        <f>SUM(Loan_Details[EMI])</f>
        <v>46023</v>
      </c>
      <c r="K5" s="79">
        <f>SUM(Loan_Details[Full Closure amount])</f>
        <v>3075277</v>
      </c>
      <c r="L5" s="71"/>
      <c r="M5" s="71"/>
      <c r="N5" s="71"/>
      <c r="O5" s="71"/>
      <c r="P5" s="71"/>
      <c r="Q5" s="71"/>
      <c r="R5" s="71"/>
      <c r="S5" s="73"/>
      <c r="T5" s="73"/>
      <c r="U5" s="73"/>
      <c r="V5" s="73"/>
      <c r="W5" s="73"/>
      <c r="X5" s="73"/>
      <c r="Y5" s="73"/>
      <c r="Z5" s="73"/>
      <c r="AA5" s="73"/>
      <c r="AB5" s="80" t="s">
        <v>151</v>
      </c>
      <c r="AC5" s="81" t="s">
        <v>152</v>
      </c>
    </row>
    <row r="6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80" t="s">
        <v>153</v>
      </c>
      <c r="AC6" s="82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80" t="s">
        <v>154</v>
      </c>
      <c r="AC7" s="8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80" t="s">
        <v>155</v>
      </c>
      <c r="AC8" s="84"/>
    </row>
    <row r="9"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80" t="s">
        <v>156</v>
      </c>
      <c r="AC9" s="85"/>
    </row>
    <row r="10"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</row>
    <row r="11"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</row>
    <row r="12"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</row>
    <row r="13"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</row>
    <row r="14"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</row>
    <row r="1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</row>
    <row r="16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</row>
    <row r="17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</row>
    <row r="18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</row>
    <row r="19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</row>
    <row r="20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</row>
    <row r="2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</row>
    <row r="22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</row>
    <row r="23"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</row>
    <row r="24"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</row>
    <row r="25"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</row>
    <row r="26"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</row>
    <row r="27">
      <c r="A27" s="86" t="s">
        <v>157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</row>
    <row r="28">
      <c r="A28" s="87" t="s">
        <v>13</v>
      </c>
      <c r="B28" s="88">
        <v>792685.0</v>
      </c>
      <c r="C28" s="89" t="s">
        <v>158</v>
      </c>
      <c r="D28" s="89">
        <v>11.0</v>
      </c>
      <c r="E28" s="90">
        <v>45418.0</v>
      </c>
      <c r="F28" s="91"/>
      <c r="G28" s="89">
        <v>780000.0</v>
      </c>
      <c r="H28" s="89">
        <v>60.0</v>
      </c>
      <c r="I28" s="89" t="s">
        <v>159</v>
      </c>
      <c r="J28" s="88">
        <v>17235.0</v>
      </c>
      <c r="K28" s="88">
        <v>770039.0</v>
      </c>
      <c r="L28" s="89">
        <v>1.53047438E8</v>
      </c>
      <c r="M28" s="91"/>
      <c r="N28" s="89" t="s">
        <v>132</v>
      </c>
      <c r="O28" s="89" t="s">
        <v>160</v>
      </c>
      <c r="P28" s="92" t="s">
        <v>161</v>
      </c>
      <c r="Q28" s="91"/>
      <c r="R28" s="93" t="s">
        <v>162</v>
      </c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</row>
    <row r="29">
      <c r="A29" s="87" t="s">
        <v>163</v>
      </c>
      <c r="B29" s="95">
        <v>125000.0</v>
      </c>
      <c r="C29" s="96" t="s">
        <v>164</v>
      </c>
      <c r="D29" s="96">
        <v>20.0</v>
      </c>
      <c r="E29" s="97">
        <v>45091.0</v>
      </c>
      <c r="F29" s="97">
        <v>45424.0</v>
      </c>
      <c r="G29" s="98">
        <v>23917.0</v>
      </c>
      <c r="H29" s="96">
        <v>18.0</v>
      </c>
      <c r="I29" s="96" t="s">
        <v>165</v>
      </c>
      <c r="J29" s="95">
        <v>8095.0</v>
      </c>
      <c r="K29" s="95">
        <v>24917.0</v>
      </c>
      <c r="L29" s="96" t="s">
        <v>166</v>
      </c>
      <c r="M29" s="99"/>
      <c r="N29" s="96" t="s">
        <v>167</v>
      </c>
      <c r="O29" s="96" t="s">
        <v>133</v>
      </c>
      <c r="P29" s="100" t="s">
        <v>168</v>
      </c>
      <c r="Q29" s="99"/>
      <c r="R29" s="100" t="s">
        <v>169</v>
      </c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</row>
    <row r="30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</row>
    <row r="3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</row>
    <row r="32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</row>
    <row r="33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</row>
    <row r="34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</row>
    <row r="3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</row>
    <row r="36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</row>
    <row r="37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</row>
    <row r="38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</row>
    <row r="39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</row>
    <row r="40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</row>
    <row r="4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</row>
    <row r="42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</row>
    <row r="43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</row>
    <row r="44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</row>
    <row r="4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</row>
    <row r="46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</row>
    <row r="47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</row>
    <row r="48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</row>
    <row r="49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</row>
    <row r="50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</row>
    <row r="5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</row>
    <row r="52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</row>
    <row r="53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</row>
    <row r="54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</row>
    <row r="5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</row>
    <row r="56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</row>
    <row r="57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</row>
    <row r="58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</row>
    <row r="59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</row>
    <row r="60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</row>
    <row r="6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</row>
    <row r="62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</row>
    <row r="6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</row>
    <row r="64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</row>
    <row r="6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</row>
    <row r="66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</row>
    <row r="67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</row>
    <row r="68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</row>
    <row r="69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</row>
    <row r="70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</row>
    <row r="7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</row>
    <row r="72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</row>
    <row r="73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</row>
    <row r="74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</row>
    <row r="7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</row>
    <row r="76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</row>
    <row r="77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</row>
    <row r="78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</row>
    <row r="79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</row>
    <row r="80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</row>
    <row r="8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</row>
    <row r="82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</row>
    <row r="83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</row>
    <row r="84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</row>
    <row r="8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</row>
    <row r="86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</row>
    <row r="87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</row>
    <row r="88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</row>
    <row r="89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</row>
    <row r="90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</row>
    <row r="9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</row>
    <row r="92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</row>
    <row r="93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</row>
    <row r="94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</row>
    <row r="9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</row>
    <row r="96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</row>
    <row r="97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</row>
    <row r="98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</row>
    <row r="99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</row>
    <row r="100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</row>
    <row r="10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</row>
    <row r="102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</row>
    <row r="103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</row>
    <row r="104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</row>
    <row r="10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</row>
    <row r="106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</row>
    <row r="107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</row>
    <row r="108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</row>
    <row r="109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</row>
    <row r="110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</row>
    <row r="11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</row>
    <row r="112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</row>
    <row r="113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</row>
    <row r="114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</row>
    <row r="11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</row>
    <row r="116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</row>
    <row r="117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</row>
    <row r="118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</row>
    <row r="119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</row>
    <row r="120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</row>
    <row r="12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</row>
    <row r="122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</row>
    <row r="123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</row>
    <row r="124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</row>
    <row r="1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</row>
    <row r="126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</row>
    <row r="127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</row>
    <row r="128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</row>
    <row r="129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</row>
    <row r="130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</row>
    <row r="13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</row>
    <row r="132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</row>
    <row r="133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</row>
    <row r="134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</row>
    <row r="13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</row>
    <row r="136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</row>
    <row r="137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</row>
    <row r="138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</row>
    <row r="139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</row>
    <row r="140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</row>
    <row r="14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</row>
    <row r="142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</row>
    <row r="143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</row>
    <row r="144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</row>
    <row r="14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</row>
    <row r="146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</row>
    <row r="147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</row>
    <row r="148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</row>
    <row r="149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</row>
    <row r="150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</row>
    <row r="15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</row>
    <row r="152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</row>
    <row r="153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</row>
    <row r="154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</row>
    <row r="15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</row>
    <row r="156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</row>
    <row r="157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</row>
    <row r="158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</row>
    <row r="159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</row>
    <row r="160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</row>
    <row r="16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</row>
    <row r="162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</row>
    <row r="163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</row>
    <row r="164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</row>
    <row r="16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</row>
    <row r="166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</row>
    <row r="167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</row>
    <row r="168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</row>
    <row r="169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</row>
    <row r="170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</row>
    <row r="17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</row>
    <row r="172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</row>
    <row r="173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</row>
    <row r="174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</row>
    <row r="17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</row>
    <row r="176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</row>
    <row r="177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</row>
    <row r="178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</row>
    <row r="179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</row>
    <row r="180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</row>
    <row r="18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</row>
    <row r="182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</row>
    <row r="183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</row>
    <row r="184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</row>
    <row r="18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</row>
    <row r="186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</row>
    <row r="187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</row>
    <row r="188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</row>
    <row r="189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</row>
    <row r="190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</row>
    <row r="19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</row>
    <row r="192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</row>
    <row r="193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</row>
    <row r="194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</row>
    <row r="19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</row>
    <row r="196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</row>
    <row r="197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</row>
    <row r="198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</row>
    <row r="199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</row>
    <row r="200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</row>
    <row r="20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</row>
    <row r="202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</row>
    <row r="203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</row>
    <row r="204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</row>
    <row r="20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</row>
    <row r="206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</row>
    <row r="207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</row>
    <row r="208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</row>
    <row r="209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</row>
    <row r="210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</row>
    <row r="21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</row>
    <row r="212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</row>
    <row r="213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</row>
    <row r="214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</row>
    <row r="21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</row>
    <row r="216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</row>
    <row r="217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</row>
    <row r="218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</row>
    <row r="219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</row>
    <row r="220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</row>
    <row r="22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</row>
    <row r="222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</row>
    <row r="223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</row>
    <row r="224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</row>
    <row r="2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</row>
    <row r="226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</row>
    <row r="227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</row>
    <row r="228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</row>
    <row r="229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</row>
    <row r="230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</row>
    <row r="23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</row>
    <row r="232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</row>
    <row r="233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</row>
    <row r="234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</row>
    <row r="23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</row>
    <row r="236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</row>
    <row r="237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</row>
    <row r="238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</row>
    <row r="239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</row>
    <row r="240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</row>
    <row r="24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</row>
    <row r="242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</row>
    <row r="243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</row>
    <row r="244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</row>
    <row r="24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</row>
    <row r="246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</row>
    <row r="247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</row>
    <row r="248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</row>
    <row r="249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</row>
    <row r="250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</row>
    <row r="25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</row>
    <row r="252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</row>
    <row r="253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</row>
    <row r="254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</row>
    <row r="25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</row>
    <row r="256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</row>
    <row r="257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</row>
    <row r="258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</row>
    <row r="259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</row>
    <row r="260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</row>
    <row r="26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</row>
    <row r="262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</row>
    <row r="263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</row>
    <row r="264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</row>
    <row r="26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</row>
    <row r="266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</row>
    <row r="267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</row>
    <row r="268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</row>
    <row r="269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</row>
    <row r="270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</row>
    <row r="27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</row>
    <row r="272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</row>
    <row r="273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</row>
    <row r="274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</row>
    <row r="27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</row>
    <row r="276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</row>
    <row r="277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</row>
    <row r="278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</row>
    <row r="279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</row>
    <row r="280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</row>
    <row r="28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</row>
    <row r="282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</row>
    <row r="283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</row>
    <row r="284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</row>
    <row r="28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</row>
    <row r="286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</row>
    <row r="287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</row>
    <row r="288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</row>
    <row r="289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</row>
    <row r="290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</row>
    <row r="29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</row>
    <row r="292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</row>
    <row r="293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</row>
    <row r="294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</row>
    <row r="29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</row>
    <row r="296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</row>
    <row r="297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</row>
    <row r="298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</row>
    <row r="299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</row>
    <row r="300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</row>
    <row r="30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</row>
    <row r="302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</row>
    <row r="303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</row>
    <row r="304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</row>
    <row r="30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</row>
    <row r="306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</row>
    <row r="307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</row>
    <row r="308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</row>
    <row r="309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</row>
    <row r="310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</row>
    <row r="31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</row>
    <row r="312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</row>
    <row r="313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</row>
    <row r="314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</row>
    <row r="31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</row>
    <row r="316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</row>
    <row r="3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</row>
    <row r="318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</row>
    <row r="319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</row>
    <row r="320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</row>
    <row r="32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</row>
    <row r="322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</row>
    <row r="323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</row>
    <row r="324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</row>
    <row r="3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</row>
    <row r="326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</row>
    <row r="327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</row>
    <row r="328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</row>
    <row r="329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</row>
    <row r="330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</row>
    <row r="33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</row>
    <row r="332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</row>
    <row r="333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</row>
    <row r="334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</row>
    <row r="33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</row>
    <row r="336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</row>
    <row r="337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</row>
    <row r="338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</row>
    <row r="339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</row>
    <row r="340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</row>
    <row r="34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</row>
    <row r="342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</row>
    <row r="343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</row>
    <row r="344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</row>
    <row r="34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</row>
    <row r="346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</row>
    <row r="347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</row>
    <row r="348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</row>
    <row r="349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</row>
    <row r="350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</row>
    <row r="35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</row>
    <row r="352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</row>
    <row r="353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</row>
    <row r="354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</row>
    <row r="35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</row>
    <row r="356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</row>
    <row r="357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</row>
    <row r="358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</row>
    <row r="359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</row>
    <row r="360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</row>
    <row r="36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</row>
    <row r="362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</row>
    <row r="363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</row>
    <row r="364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</row>
    <row r="36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</row>
    <row r="366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</row>
    <row r="367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</row>
    <row r="368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</row>
    <row r="369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</row>
    <row r="370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</row>
    <row r="37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</row>
    <row r="372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</row>
    <row r="373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</row>
    <row r="374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</row>
    <row r="37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</row>
    <row r="376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</row>
    <row r="377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</row>
    <row r="378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</row>
    <row r="379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</row>
    <row r="380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</row>
    <row r="38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</row>
    <row r="382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</row>
    <row r="383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</row>
    <row r="384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</row>
    <row r="38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</row>
    <row r="386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</row>
    <row r="387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</row>
    <row r="388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</row>
    <row r="389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</row>
    <row r="390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</row>
    <row r="39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</row>
    <row r="392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</row>
    <row r="393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</row>
    <row r="394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</row>
    <row r="39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</row>
    <row r="396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</row>
    <row r="397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</row>
    <row r="398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</row>
    <row r="399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</row>
    <row r="400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</row>
    <row r="40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</row>
    <row r="402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</row>
    <row r="403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</row>
    <row r="404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</row>
    <row r="40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</row>
    <row r="406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</row>
    <row r="407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</row>
    <row r="408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</row>
    <row r="409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</row>
    <row r="410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</row>
    <row r="41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</row>
    <row r="412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</row>
    <row r="413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</row>
    <row r="414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</row>
    <row r="41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</row>
    <row r="416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</row>
    <row r="417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</row>
    <row r="418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</row>
    <row r="419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</row>
    <row r="420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</row>
    <row r="42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</row>
    <row r="422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</row>
    <row r="423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</row>
    <row r="424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</row>
    <row r="4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</row>
    <row r="426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</row>
    <row r="427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</row>
    <row r="428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</row>
    <row r="429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</row>
    <row r="430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</row>
    <row r="43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</row>
    <row r="432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</row>
    <row r="433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</row>
    <row r="434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</row>
    <row r="43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</row>
    <row r="436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</row>
    <row r="437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</row>
    <row r="438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</row>
    <row r="439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</row>
    <row r="440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</row>
    <row r="44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</row>
    <row r="442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</row>
    <row r="443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</row>
    <row r="444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</row>
    <row r="44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</row>
    <row r="446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</row>
    <row r="447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</row>
    <row r="448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</row>
    <row r="449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</row>
    <row r="450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</row>
    <row r="45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</row>
    <row r="452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</row>
    <row r="453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</row>
    <row r="454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</row>
    <row r="45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</row>
    <row r="456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</row>
    <row r="457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</row>
    <row r="458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</row>
    <row r="459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</row>
    <row r="460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</row>
    <row r="46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</row>
    <row r="462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</row>
    <row r="463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</row>
    <row r="464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</row>
    <row r="46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</row>
    <row r="466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</row>
    <row r="467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</row>
    <row r="468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</row>
    <row r="469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</row>
    <row r="470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</row>
    <row r="47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</row>
    <row r="472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</row>
    <row r="473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</row>
    <row r="474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</row>
    <row r="47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</row>
    <row r="476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</row>
    <row r="477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</row>
    <row r="478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</row>
    <row r="479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</row>
    <row r="480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</row>
    <row r="48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</row>
    <row r="482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</row>
    <row r="483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</row>
    <row r="484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</row>
    <row r="48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</row>
    <row r="486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</row>
    <row r="487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</row>
    <row r="488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</row>
    <row r="489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</row>
    <row r="490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</row>
    <row r="49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</row>
    <row r="492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</row>
    <row r="493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</row>
    <row r="494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</row>
    <row r="49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</row>
    <row r="496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</row>
    <row r="497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</row>
    <row r="498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</row>
    <row r="499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</row>
    <row r="500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</row>
    <row r="50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</row>
    <row r="502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</row>
    <row r="503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</row>
    <row r="504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</row>
    <row r="50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</row>
    <row r="506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</row>
    <row r="507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</row>
    <row r="508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</row>
    <row r="509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</row>
    <row r="510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</row>
    <row r="51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</row>
    <row r="512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</row>
    <row r="513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</row>
    <row r="514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</row>
    <row r="51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</row>
    <row r="516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</row>
    <row r="517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</row>
    <row r="518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</row>
    <row r="519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</row>
    <row r="520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</row>
    <row r="52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</row>
    <row r="522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</row>
    <row r="523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</row>
    <row r="524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</row>
    <row r="5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</row>
    <row r="526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</row>
    <row r="527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</row>
    <row r="528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</row>
    <row r="529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</row>
    <row r="530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</row>
    <row r="53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</row>
    <row r="532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</row>
    <row r="533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</row>
    <row r="534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</row>
    <row r="53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</row>
    <row r="536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</row>
    <row r="537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</row>
    <row r="538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</row>
    <row r="539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</row>
    <row r="540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</row>
    <row r="54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</row>
    <row r="542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</row>
    <row r="543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</row>
    <row r="544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</row>
    <row r="54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</row>
    <row r="546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</row>
    <row r="547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</row>
    <row r="548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</row>
    <row r="549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</row>
    <row r="550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</row>
    <row r="55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</row>
    <row r="552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</row>
    <row r="553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</row>
    <row r="554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</row>
    <row r="55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</row>
    <row r="556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</row>
    <row r="557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</row>
    <row r="558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</row>
    <row r="559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</row>
    <row r="560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</row>
    <row r="56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</row>
    <row r="562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</row>
    <row r="563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</row>
    <row r="564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</row>
    <row r="56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</row>
    <row r="566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</row>
    <row r="567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</row>
    <row r="568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</row>
    <row r="569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</row>
    <row r="570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</row>
    <row r="57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</row>
    <row r="572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</row>
    <row r="573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</row>
    <row r="574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</row>
    <row r="57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</row>
    <row r="576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</row>
    <row r="577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</row>
    <row r="578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</row>
    <row r="579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</row>
    <row r="580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</row>
    <row r="58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</row>
    <row r="582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</row>
    <row r="583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</row>
    <row r="584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</row>
    <row r="58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</row>
    <row r="586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</row>
    <row r="587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</row>
    <row r="588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</row>
    <row r="589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</row>
    <row r="590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</row>
    <row r="59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</row>
    <row r="592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</row>
    <row r="593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</row>
    <row r="594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</row>
    <row r="59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</row>
    <row r="596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</row>
    <row r="597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</row>
    <row r="598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</row>
    <row r="599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</row>
    <row r="600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</row>
    <row r="60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</row>
    <row r="602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</row>
    <row r="603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</row>
    <row r="604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</row>
    <row r="60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</row>
    <row r="606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</row>
    <row r="607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</row>
    <row r="608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</row>
    <row r="609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</row>
    <row r="610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</row>
    <row r="61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</row>
    <row r="612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</row>
    <row r="613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</row>
    <row r="614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</row>
    <row r="61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</row>
    <row r="616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</row>
    <row r="617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</row>
    <row r="618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</row>
    <row r="619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</row>
    <row r="620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</row>
    <row r="62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</row>
    <row r="622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</row>
    <row r="623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</row>
    <row r="624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</row>
    <row r="6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</row>
    <row r="626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</row>
    <row r="627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</row>
    <row r="628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</row>
    <row r="629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</row>
    <row r="630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</row>
    <row r="63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</row>
    <row r="632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</row>
    <row r="633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</row>
    <row r="634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</row>
    <row r="63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</row>
    <row r="636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</row>
    <row r="637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</row>
    <row r="638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</row>
    <row r="639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</row>
    <row r="640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</row>
    <row r="64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</row>
    <row r="642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</row>
    <row r="643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</row>
    <row r="644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</row>
    <row r="64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</row>
    <row r="646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</row>
    <row r="647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</row>
    <row r="648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</row>
    <row r="649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</row>
    <row r="650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</row>
    <row r="65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</row>
    <row r="652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</row>
    <row r="653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</row>
    <row r="654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</row>
    <row r="65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</row>
    <row r="656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</row>
    <row r="657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</row>
    <row r="658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</row>
    <row r="659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</row>
    <row r="660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</row>
    <row r="66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</row>
    <row r="662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</row>
    <row r="663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</row>
    <row r="664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</row>
    <row r="66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</row>
    <row r="666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</row>
    <row r="667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</row>
    <row r="668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</row>
    <row r="669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</row>
    <row r="670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</row>
    <row r="67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</row>
    <row r="672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</row>
    <row r="673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</row>
    <row r="674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</row>
    <row r="67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</row>
    <row r="676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</row>
    <row r="677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</row>
    <row r="678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</row>
    <row r="679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</row>
    <row r="680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</row>
    <row r="68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</row>
    <row r="682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</row>
    <row r="683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</row>
    <row r="684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</row>
    <row r="68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</row>
    <row r="686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</row>
    <row r="687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</row>
    <row r="688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</row>
    <row r="689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</row>
    <row r="690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</row>
    <row r="69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</row>
    <row r="692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</row>
    <row r="693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</row>
    <row r="694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</row>
    <row r="69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</row>
    <row r="696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</row>
    <row r="697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</row>
    <row r="698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</row>
    <row r="699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</row>
    <row r="700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</row>
    <row r="70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</row>
    <row r="702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</row>
    <row r="703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</row>
    <row r="704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</row>
    <row r="70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</row>
    <row r="706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</row>
    <row r="707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</row>
    <row r="708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</row>
    <row r="709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</row>
    <row r="710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</row>
    <row r="71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</row>
    <row r="712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</row>
    <row r="713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</row>
    <row r="714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</row>
    <row r="71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</row>
    <row r="716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</row>
    <row r="717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</row>
    <row r="718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</row>
    <row r="719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</row>
    <row r="720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</row>
    <row r="72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</row>
    <row r="722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</row>
    <row r="723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</row>
    <row r="724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</row>
    <row r="7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</row>
    <row r="726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</row>
    <row r="727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</row>
    <row r="728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</row>
    <row r="729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</row>
    <row r="730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</row>
    <row r="73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</row>
    <row r="732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</row>
    <row r="733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</row>
    <row r="734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</row>
    <row r="73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</row>
    <row r="736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</row>
    <row r="737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</row>
    <row r="738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</row>
    <row r="739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</row>
    <row r="740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</row>
    <row r="74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</row>
    <row r="742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</row>
    <row r="743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</row>
    <row r="744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</row>
    <row r="74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</row>
    <row r="746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</row>
    <row r="747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</row>
    <row r="748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</row>
    <row r="749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</row>
    <row r="750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</row>
    <row r="75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</row>
    <row r="752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</row>
    <row r="753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</row>
    <row r="754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</row>
    <row r="75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</row>
    <row r="756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</row>
    <row r="757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</row>
    <row r="758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</row>
    <row r="759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</row>
    <row r="760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</row>
    <row r="76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</row>
    <row r="762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</row>
    <row r="763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</row>
    <row r="764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</row>
    <row r="76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</row>
    <row r="766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</row>
    <row r="767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</row>
    <row r="768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</row>
    <row r="769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</row>
    <row r="770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</row>
    <row r="77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</row>
    <row r="772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</row>
    <row r="773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</row>
    <row r="774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</row>
    <row r="77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</row>
    <row r="776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</row>
    <row r="777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</row>
    <row r="778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</row>
    <row r="779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</row>
    <row r="780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</row>
    <row r="78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</row>
    <row r="782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</row>
    <row r="783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</row>
    <row r="784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</row>
    <row r="78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</row>
    <row r="786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</row>
    <row r="787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</row>
    <row r="788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</row>
    <row r="789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</row>
    <row r="790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</row>
    <row r="79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</row>
    <row r="792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</row>
    <row r="793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</row>
    <row r="794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</row>
    <row r="79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</row>
    <row r="796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</row>
    <row r="797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</row>
    <row r="798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</row>
    <row r="799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</row>
    <row r="800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</row>
    <row r="80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</row>
    <row r="802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</row>
    <row r="803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</row>
    <row r="804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</row>
    <row r="80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</row>
    <row r="806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</row>
    <row r="807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</row>
    <row r="808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</row>
    <row r="809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</row>
    <row r="810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</row>
    <row r="81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</row>
    <row r="812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</row>
    <row r="813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</row>
    <row r="814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</row>
    <row r="81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</row>
    <row r="816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</row>
    <row r="817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</row>
    <row r="818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</row>
    <row r="819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</row>
    <row r="820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</row>
    <row r="82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</row>
    <row r="822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</row>
    <row r="823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</row>
    <row r="824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</row>
    <row r="8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</row>
    <row r="826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</row>
    <row r="827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</row>
    <row r="828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</row>
    <row r="829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</row>
    <row r="830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</row>
    <row r="83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</row>
    <row r="832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</row>
    <row r="833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</row>
    <row r="834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</row>
    <row r="83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</row>
    <row r="836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</row>
    <row r="837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</row>
    <row r="838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</row>
    <row r="839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</row>
    <row r="840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</row>
    <row r="84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</row>
    <row r="842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</row>
    <row r="843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</row>
    <row r="844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</row>
    <row r="84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</row>
    <row r="846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</row>
    <row r="847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</row>
    <row r="848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</row>
    <row r="849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</row>
    <row r="850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</row>
    <row r="85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</row>
    <row r="852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</row>
    <row r="853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</row>
    <row r="854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</row>
    <row r="85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</row>
    <row r="856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</row>
    <row r="857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</row>
    <row r="858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</row>
    <row r="859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</row>
    <row r="860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</row>
    <row r="86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</row>
    <row r="862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</row>
    <row r="863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</row>
    <row r="864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</row>
    <row r="86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</row>
    <row r="866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</row>
    <row r="867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</row>
    <row r="868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</row>
    <row r="869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</row>
    <row r="870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</row>
    <row r="87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</row>
    <row r="872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</row>
    <row r="873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</row>
    <row r="874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</row>
    <row r="87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</row>
    <row r="876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</row>
    <row r="877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</row>
    <row r="878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</row>
    <row r="879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</row>
    <row r="880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</row>
    <row r="88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</row>
    <row r="882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</row>
    <row r="883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</row>
    <row r="884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</row>
    <row r="88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</row>
    <row r="886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</row>
    <row r="887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</row>
    <row r="888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</row>
    <row r="889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</row>
    <row r="890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</row>
    <row r="89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</row>
    <row r="892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</row>
    <row r="893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</row>
    <row r="894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</row>
    <row r="89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</row>
    <row r="896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</row>
    <row r="897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</row>
    <row r="898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</row>
    <row r="899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</row>
    <row r="900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</row>
    <row r="90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</row>
    <row r="902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</row>
    <row r="903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</row>
    <row r="904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</row>
    <row r="90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</row>
    <row r="906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</row>
    <row r="907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</row>
    <row r="908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</row>
    <row r="909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</row>
    <row r="910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</row>
    <row r="91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</row>
    <row r="912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</row>
    <row r="913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</row>
    <row r="914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</row>
    <row r="91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</row>
    <row r="916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</row>
    <row r="917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</row>
    <row r="918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</row>
    <row r="919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</row>
    <row r="920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</row>
    <row r="92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</row>
    <row r="922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</row>
    <row r="923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</row>
    <row r="924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</row>
    <row r="9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</row>
    <row r="926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</row>
    <row r="927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</row>
    <row r="928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</row>
    <row r="929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</row>
    <row r="930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</row>
    <row r="93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</row>
    <row r="932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</row>
    <row r="933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</row>
    <row r="934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</row>
    <row r="93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</row>
    <row r="936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</row>
    <row r="937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</row>
    <row r="938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</row>
    <row r="939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</row>
    <row r="940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</row>
    <row r="94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</row>
    <row r="942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</row>
    <row r="943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</row>
    <row r="944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</row>
    <row r="94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</row>
    <row r="946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</row>
    <row r="947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</row>
    <row r="948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</row>
    <row r="949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</row>
    <row r="950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</row>
    <row r="95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</row>
    <row r="952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</row>
    <row r="953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</row>
    <row r="954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</row>
    <row r="95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</row>
    <row r="956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</row>
    <row r="957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</row>
    <row r="958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</row>
    <row r="959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</row>
    <row r="960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</row>
    <row r="96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</row>
    <row r="962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</row>
    <row r="963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</row>
    <row r="964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</row>
    <row r="96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</row>
    <row r="966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</row>
    <row r="967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</row>
    <row r="968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</row>
    <row r="969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</row>
    <row r="970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</row>
    <row r="97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</row>
    <row r="972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</row>
    <row r="973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</row>
    <row r="974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</row>
    <row r="97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</row>
    <row r="976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</row>
    <row r="977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</row>
    <row r="978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</row>
    <row r="979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</row>
    <row r="980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</row>
    <row r="98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</row>
    <row r="982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</row>
    <row r="983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</row>
    <row r="984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</row>
    <row r="98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</row>
    <row r="986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</row>
    <row r="987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</row>
    <row r="988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</row>
    <row r="989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</row>
    <row r="990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</row>
    <row r="99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</row>
    <row r="992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</row>
    <row r="993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</row>
    <row r="994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</row>
    <row r="99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</row>
    <row r="996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</row>
    <row r="997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</row>
    <row r="998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</row>
  </sheetData>
  <dataValidations>
    <dataValidation type="custom" allowBlank="1" showDropDown="1" sqref="E2:F4">
      <formula1>OR(NOT(ISERROR(DATEVALUE(E2))), AND(ISNUMBER(E2), LEFT(CELL("format", E2))="D"))</formula1>
    </dataValidation>
    <dataValidation type="custom" allowBlank="1" showDropDown="1" sqref="B2:B4 J2:K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7.0"/>
    <col customWidth="1" min="3" max="3" width="18.88"/>
    <col customWidth="1" min="4" max="4" width="15.25"/>
  </cols>
  <sheetData>
    <row r="1">
      <c r="A1" s="102" t="s">
        <v>1</v>
      </c>
      <c r="B1" s="102" t="s">
        <v>170</v>
      </c>
      <c r="C1" s="102" t="s">
        <v>171</v>
      </c>
      <c r="D1" s="102" t="s">
        <v>172</v>
      </c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4">
        <v>10000.0</v>
      </c>
      <c r="B2" s="105" t="s">
        <v>173</v>
      </c>
      <c r="C2" s="106" t="s">
        <v>174</v>
      </c>
      <c r="D2" s="104">
        <v>1.0</v>
      </c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104">
        <v>20000.0</v>
      </c>
      <c r="B3" s="105" t="s">
        <v>175</v>
      </c>
      <c r="C3" s="106" t="s">
        <v>174</v>
      </c>
      <c r="D3" s="104">
        <v>1.0</v>
      </c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A4" s="104">
        <v>20000.0</v>
      </c>
      <c r="B4" s="105" t="s">
        <v>176</v>
      </c>
      <c r="C4" s="106" t="s">
        <v>174</v>
      </c>
      <c r="D4" s="104">
        <v>1.0</v>
      </c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108">
        <f>SUM(Payment_Allocations[Amount])</f>
        <v>50000</v>
      </c>
      <c r="B5" s="109"/>
      <c r="C5" s="109"/>
      <c r="D5" s="108">
        <f>SUM(Payment_Allocations[priority])</f>
        <v>3</v>
      </c>
    </row>
  </sheetData>
  <dataValidations>
    <dataValidation type="list" allowBlank="1" showDropDown="1" showErrorMessage="1" sqref="C2:C4">
      <formula1>"Needs,Need to do,Should"</formula1>
    </dataValidation>
    <dataValidation type="custom" allowBlank="1" showDropDown="1" sqref="A2:A4 D2:D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0.25"/>
    <col customWidth="1" min="3" max="3" width="18.5"/>
    <col customWidth="1" min="4" max="5" width="18.25"/>
    <col customWidth="1" min="6" max="6" width="20.38"/>
    <col customWidth="1" min="7" max="7" width="17.88"/>
    <col customWidth="1" min="8" max="8" width="21.25"/>
    <col customWidth="1" min="9" max="9" width="23.75"/>
  </cols>
  <sheetData>
    <row r="1">
      <c r="A1" s="110" t="s">
        <v>0</v>
      </c>
      <c r="B1" s="110" t="s">
        <v>1</v>
      </c>
      <c r="C1" s="110" t="s">
        <v>2</v>
      </c>
      <c r="D1" s="110" t="s">
        <v>70</v>
      </c>
      <c r="E1" s="110" t="s">
        <v>177</v>
      </c>
      <c r="F1" s="110" t="s">
        <v>4</v>
      </c>
      <c r="G1" s="110" t="s">
        <v>5</v>
      </c>
      <c r="H1" s="110" t="s">
        <v>6</v>
      </c>
      <c r="I1" s="110" t="s">
        <v>7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111" t="s">
        <v>178</v>
      </c>
      <c r="B2" s="112">
        <v>2069.0</v>
      </c>
      <c r="C2" s="113" t="s">
        <v>179</v>
      </c>
      <c r="D2" s="113">
        <v>12.0</v>
      </c>
      <c r="E2" s="113">
        <v>12.0</v>
      </c>
      <c r="F2" s="113" t="s">
        <v>77</v>
      </c>
      <c r="G2" s="113" t="s">
        <v>80</v>
      </c>
      <c r="H2" s="114">
        <f t="shared" ref="H2:H12" si="1"> B2 *D2</f>
        <v>24828</v>
      </c>
      <c r="I2" s="113" t="s">
        <v>12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>
      <c r="A3" s="111" t="s">
        <v>180</v>
      </c>
      <c r="B3" s="113">
        <v>1431.0</v>
      </c>
      <c r="C3" s="113" t="s">
        <v>179</v>
      </c>
      <c r="D3" s="113">
        <v>12.0</v>
      </c>
      <c r="E3" s="113">
        <v>12.0</v>
      </c>
      <c r="F3" s="113" t="s">
        <v>73</v>
      </c>
      <c r="G3" s="113" t="s">
        <v>80</v>
      </c>
      <c r="H3" s="114">
        <f t="shared" si="1"/>
        <v>17172</v>
      </c>
      <c r="I3" s="113" t="s">
        <v>12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</row>
    <row r="4">
      <c r="A4" s="111" t="s">
        <v>181</v>
      </c>
      <c r="B4" s="113">
        <v>5000.0</v>
      </c>
      <c r="C4" s="113" t="s">
        <v>182</v>
      </c>
      <c r="D4" s="113">
        <v>12.0</v>
      </c>
      <c r="E4" s="113">
        <v>8.0</v>
      </c>
      <c r="F4" s="113" t="s">
        <v>73</v>
      </c>
      <c r="G4" s="113" t="s">
        <v>74</v>
      </c>
      <c r="H4" s="114">
        <f t="shared" si="1"/>
        <v>60000</v>
      </c>
      <c r="I4" s="113" t="s">
        <v>12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>
      <c r="A5" s="111" t="s">
        <v>183</v>
      </c>
      <c r="B5" s="113">
        <v>1000.0</v>
      </c>
      <c r="C5" s="113" t="s">
        <v>182</v>
      </c>
      <c r="D5" s="113">
        <v>12.0</v>
      </c>
      <c r="E5" s="113">
        <v>7.0</v>
      </c>
      <c r="F5" s="113" t="s">
        <v>73</v>
      </c>
      <c r="G5" s="113" t="s">
        <v>74</v>
      </c>
      <c r="H5" s="114">
        <f t="shared" si="1"/>
        <v>12000</v>
      </c>
      <c r="I5" s="113" t="s">
        <v>12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>
      <c r="A6" s="111" t="s">
        <v>184</v>
      </c>
      <c r="B6" s="113">
        <v>3000.0</v>
      </c>
      <c r="C6" s="113" t="s">
        <v>185</v>
      </c>
      <c r="D6" s="113">
        <v>12.0</v>
      </c>
      <c r="E6" s="113">
        <v>5.0</v>
      </c>
      <c r="F6" s="113" t="s">
        <v>73</v>
      </c>
      <c r="G6" s="113" t="s">
        <v>80</v>
      </c>
      <c r="H6" s="114">
        <f t="shared" si="1"/>
        <v>36000</v>
      </c>
      <c r="I6" s="113" t="s">
        <v>12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</row>
    <row r="7">
      <c r="A7" s="111" t="s">
        <v>78</v>
      </c>
      <c r="B7" s="113">
        <v>10000.0</v>
      </c>
      <c r="C7" s="113" t="s">
        <v>78</v>
      </c>
      <c r="D7" s="113">
        <v>12.0</v>
      </c>
      <c r="E7" s="113"/>
      <c r="F7" s="113" t="s">
        <v>73</v>
      </c>
      <c r="G7" s="113" t="s">
        <v>80</v>
      </c>
      <c r="H7" s="114">
        <f t="shared" si="1"/>
        <v>120000</v>
      </c>
      <c r="I7" s="113" t="s">
        <v>12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>
      <c r="A8" s="111" t="s">
        <v>42</v>
      </c>
      <c r="B8" s="113">
        <v>3000.0</v>
      </c>
      <c r="C8" s="113" t="s">
        <v>186</v>
      </c>
      <c r="D8" s="113">
        <v>12.0</v>
      </c>
      <c r="E8" s="113"/>
      <c r="F8" s="113" t="s">
        <v>73</v>
      </c>
      <c r="G8" s="113" t="s">
        <v>80</v>
      </c>
      <c r="H8" s="114">
        <f t="shared" si="1"/>
        <v>36000</v>
      </c>
      <c r="I8" s="113" t="s">
        <v>12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>
      <c r="A9" s="111" t="s">
        <v>187</v>
      </c>
      <c r="B9" s="113">
        <v>1600.0</v>
      </c>
      <c r="C9" s="113" t="s">
        <v>186</v>
      </c>
      <c r="D9" s="113">
        <v>12.0</v>
      </c>
      <c r="E9" s="113"/>
      <c r="F9" s="113" t="s">
        <v>77</v>
      </c>
      <c r="G9" s="113" t="s">
        <v>80</v>
      </c>
      <c r="H9" s="114">
        <f t="shared" si="1"/>
        <v>19200</v>
      </c>
      <c r="I9" s="113" t="s">
        <v>12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</row>
    <row r="10">
      <c r="A10" s="111" t="s">
        <v>188</v>
      </c>
      <c r="B10" s="113">
        <v>2400.0</v>
      </c>
      <c r="C10" s="113" t="s">
        <v>186</v>
      </c>
      <c r="D10" s="113">
        <v>12.0</v>
      </c>
      <c r="E10" s="113"/>
      <c r="F10" s="113" t="s">
        <v>77</v>
      </c>
      <c r="G10" s="113" t="s">
        <v>80</v>
      </c>
      <c r="H10" s="114">
        <f t="shared" si="1"/>
        <v>28800</v>
      </c>
      <c r="I10" s="113" t="s">
        <v>12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>
      <c r="A11" s="111" t="s">
        <v>189</v>
      </c>
      <c r="B11" s="113">
        <v>1000.0</v>
      </c>
      <c r="C11" s="113" t="s">
        <v>186</v>
      </c>
      <c r="D11" s="113">
        <v>12.0</v>
      </c>
      <c r="E11" s="113"/>
      <c r="F11" s="113" t="s">
        <v>77</v>
      </c>
      <c r="G11" s="113" t="s">
        <v>80</v>
      </c>
      <c r="H11" s="114">
        <f t="shared" si="1"/>
        <v>12000</v>
      </c>
      <c r="I11" s="113" t="s">
        <v>12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</row>
    <row r="12">
      <c r="A12" s="111" t="s">
        <v>190</v>
      </c>
      <c r="B12" s="113">
        <v>3000.0</v>
      </c>
      <c r="C12" s="113" t="s">
        <v>191</v>
      </c>
      <c r="D12" s="113">
        <v>12.0</v>
      </c>
      <c r="E12" s="113"/>
      <c r="F12" s="113" t="s">
        <v>77</v>
      </c>
      <c r="G12" s="113" t="s">
        <v>11</v>
      </c>
      <c r="H12" s="114">
        <f t="shared" si="1"/>
        <v>36000</v>
      </c>
      <c r="I12" s="113" t="s">
        <v>192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</row>
    <row r="13">
      <c r="A13" s="113" t="s">
        <v>35</v>
      </c>
      <c r="B13" s="113">
        <v>1200.0</v>
      </c>
      <c r="C13" s="114"/>
      <c r="D13" s="114"/>
      <c r="E13" s="114"/>
      <c r="F13" s="114"/>
      <c r="G13" s="114"/>
      <c r="H13" s="114"/>
      <c r="I13" s="11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</row>
    <row r="14">
      <c r="A14" s="110" t="s">
        <v>15</v>
      </c>
      <c r="B14" s="115">
        <f> SUM(B2:B13)</f>
        <v>34700</v>
      </c>
      <c r="C14" s="114"/>
      <c r="D14" s="114">
        <f>B14*D12</f>
        <v>416400</v>
      </c>
      <c r="E14" s="114"/>
      <c r="F14" s="114"/>
      <c r="G14" s="114"/>
      <c r="H14" s="114"/>
      <c r="I14" s="11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</row>
    <row r="19">
      <c r="A19" s="116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>
      <c r="A20" s="116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>
      <c r="A21" s="116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>
      <c r="A22" s="116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>
      <c r="A23" s="116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>
      <c r="A24" s="116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>
      <c r="A25" s="116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>
      <c r="A27" s="44"/>
      <c r="B27" s="116"/>
      <c r="C27" s="116"/>
      <c r="D27" s="116"/>
      <c r="E27" s="116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>
      <c r="A28" s="44"/>
      <c r="B28" s="44"/>
      <c r="C28" s="116"/>
      <c r="D28" s="116"/>
      <c r="E28" s="116"/>
      <c r="F28" s="116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>
      <c r="A29" s="44"/>
      <c r="B29" s="44"/>
      <c r="C29" s="116"/>
      <c r="D29" s="116"/>
      <c r="E29" s="116"/>
      <c r="F29" s="116"/>
      <c r="G29" s="116"/>
      <c r="H29" s="116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</row>
    <row r="30">
      <c r="A30" s="44"/>
      <c r="B30" s="44"/>
      <c r="C30" s="116"/>
      <c r="D30" s="116"/>
      <c r="E30" s="116"/>
      <c r="F30" s="116"/>
      <c r="G30" s="116"/>
      <c r="H30" s="116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>
      <c r="A31" s="44"/>
      <c r="B31" s="44"/>
      <c r="C31" s="116"/>
      <c r="D31" s="116"/>
      <c r="E31" s="116"/>
      <c r="F31" s="116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</row>
    <row r="32">
      <c r="A32" s="44"/>
      <c r="B32" s="44"/>
      <c r="C32" s="116"/>
      <c r="D32" s="116"/>
      <c r="E32" s="116"/>
      <c r="F32" s="116"/>
      <c r="G32" s="116"/>
      <c r="H32" s="116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>
      <c r="A33" s="44"/>
      <c r="B33" s="44"/>
      <c r="C33" s="116"/>
      <c r="D33" s="116"/>
      <c r="E33" s="116"/>
      <c r="F33" s="116"/>
      <c r="G33" s="116"/>
      <c r="H33" s="116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  <row r="34">
      <c r="A34" s="44"/>
      <c r="B34" s="44"/>
      <c r="C34" s="116"/>
      <c r="D34" s="116"/>
      <c r="E34" s="116"/>
      <c r="F34" s="116"/>
      <c r="G34" s="116"/>
      <c r="H34" s="116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</row>
    <row r="35">
      <c r="A35" s="44"/>
      <c r="B35" s="44"/>
      <c r="C35" s="116"/>
      <c r="D35" s="116"/>
      <c r="F35" s="44"/>
      <c r="G35" s="116"/>
      <c r="H35" s="116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</row>
    <row r="36">
      <c r="A36" s="44"/>
      <c r="B36" s="44"/>
      <c r="C36" s="116"/>
      <c r="D36" s="116"/>
      <c r="E36" s="44"/>
      <c r="F36" s="44"/>
      <c r="G36" s="116"/>
      <c r="H36" s="116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</row>
    <row r="37">
      <c r="A37" s="44"/>
      <c r="B37" s="44"/>
      <c r="D37" s="116"/>
      <c r="E37" s="44"/>
      <c r="F37" s="44"/>
      <c r="G37" s="116"/>
      <c r="H37" s="116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</row>
    <row r="38">
      <c r="A38" s="44"/>
      <c r="B38" s="44"/>
      <c r="C38" s="116"/>
      <c r="D38" s="116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</row>
    <row r="39">
      <c r="A39" s="44"/>
      <c r="B39" s="44"/>
      <c r="C39" s="116"/>
      <c r="D39" s="116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</row>
    <row r="42">
      <c r="A42" s="44"/>
      <c r="B42" s="44"/>
      <c r="C42" s="44"/>
      <c r="D42" s="116"/>
      <c r="E42" s="116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</sheetData>
  <dataValidations>
    <dataValidation type="list" allowBlank="1" showErrorMessage="1" sqref="F2:F12">
      <formula1>"1 year,1 Year"</formula1>
    </dataValidation>
    <dataValidation type="list" allowBlank="1" showErrorMessage="1" sqref="G2:G12">
      <formula1>"No,After some time,Yes"</formula1>
    </dataValidation>
    <dataValidation type="list" allowBlank="1" showErrorMessage="1" sqref="I2:I12">
      <formula1>"Need,Loan,Investments,Want,Miscellaneous"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9.0"/>
    <col customWidth="1" min="5" max="5" width="15.38"/>
    <col customWidth="1" min="6" max="6" width="13.13"/>
    <col customWidth="1" min="8" max="8" width="15.75"/>
    <col customWidth="1" min="11" max="11" width="25.88"/>
    <col customWidth="1" min="12" max="12" width="15.5"/>
  </cols>
  <sheetData>
    <row r="1" ht="44.25" customHeight="1">
      <c r="A1" s="49" t="s">
        <v>86</v>
      </c>
      <c r="B1" s="49" t="s">
        <v>1</v>
      </c>
      <c r="C1" s="49" t="s">
        <v>87</v>
      </c>
      <c r="D1" s="49" t="s">
        <v>88</v>
      </c>
      <c r="E1" s="49" t="s">
        <v>90</v>
      </c>
      <c r="F1" s="49" t="s">
        <v>91</v>
      </c>
      <c r="G1" s="49" t="s">
        <v>92</v>
      </c>
      <c r="H1" s="49" t="s">
        <v>93</v>
      </c>
      <c r="I1" s="49" t="s">
        <v>94</v>
      </c>
      <c r="J1" s="49" t="s">
        <v>95</v>
      </c>
      <c r="K1" s="49" t="s">
        <v>96</v>
      </c>
      <c r="L1" s="49" t="s">
        <v>97</v>
      </c>
      <c r="M1" s="44"/>
      <c r="N1" s="44"/>
      <c r="O1" s="44"/>
      <c r="P1" s="44"/>
      <c r="Q1" s="44"/>
      <c r="R1" s="44"/>
      <c r="S1" s="44"/>
      <c r="T1" s="44"/>
      <c r="U1" s="44"/>
      <c r="V1" s="44"/>
    </row>
    <row r="2" ht="29.25" customHeight="1">
      <c r="A2" s="52" t="s">
        <v>193</v>
      </c>
      <c r="B2" s="117">
        <v>200000.0</v>
      </c>
      <c r="C2" s="118" t="s">
        <v>99</v>
      </c>
      <c r="D2" s="52" t="s">
        <v>194</v>
      </c>
      <c r="E2" s="117">
        <v>1.5</v>
      </c>
      <c r="F2" s="118" t="s">
        <v>101</v>
      </c>
      <c r="G2" s="52" t="s">
        <v>101</v>
      </c>
      <c r="H2" s="117">
        <v>60000.0</v>
      </c>
      <c r="I2" s="52" t="s">
        <v>101</v>
      </c>
      <c r="J2" s="52" t="s">
        <v>102</v>
      </c>
      <c r="K2" s="52" t="s">
        <v>103</v>
      </c>
      <c r="L2" s="118" t="s">
        <v>104</v>
      </c>
      <c r="M2" s="44"/>
      <c r="N2" s="44"/>
      <c r="O2" s="44"/>
      <c r="P2" s="44"/>
      <c r="Q2" s="44"/>
      <c r="R2" s="44"/>
      <c r="S2" s="44"/>
      <c r="T2" s="44"/>
      <c r="U2" s="44"/>
      <c r="V2" s="44"/>
    </row>
    <row r="3" ht="22.5" customHeight="1">
      <c r="A3" s="52" t="s">
        <v>195</v>
      </c>
      <c r="B3" s="117">
        <v>15000.0</v>
      </c>
      <c r="C3" s="118" t="s">
        <v>99</v>
      </c>
      <c r="D3" s="52" t="s">
        <v>196</v>
      </c>
      <c r="E3" s="117">
        <v>0.0</v>
      </c>
      <c r="F3" s="118" t="s">
        <v>101</v>
      </c>
      <c r="G3" s="52" t="s">
        <v>101</v>
      </c>
      <c r="H3" s="117">
        <v>8000.0</v>
      </c>
      <c r="I3" s="52" t="s">
        <v>101</v>
      </c>
      <c r="J3" s="52" t="s">
        <v>197</v>
      </c>
      <c r="K3" s="52" t="s">
        <v>198</v>
      </c>
      <c r="L3" s="118" t="s">
        <v>199</v>
      </c>
      <c r="M3" s="44"/>
      <c r="N3" s="44"/>
      <c r="O3" s="44"/>
      <c r="P3" s="44"/>
      <c r="Q3" s="44"/>
      <c r="R3" s="44"/>
      <c r="S3" s="44"/>
      <c r="T3" s="44"/>
      <c r="U3" s="44"/>
      <c r="V3" s="44"/>
    </row>
    <row r="4" ht="27.0" customHeight="1">
      <c r="A4" s="52" t="s">
        <v>200</v>
      </c>
      <c r="B4" s="117">
        <v>6000.0</v>
      </c>
      <c r="C4" s="118" t="s">
        <v>99</v>
      </c>
      <c r="D4" s="52" t="s">
        <v>201</v>
      </c>
      <c r="E4" s="117">
        <v>0.0</v>
      </c>
      <c r="F4" s="118" t="s">
        <v>101</v>
      </c>
      <c r="G4" s="52" t="s">
        <v>101</v>
      </c>
      <c r="H4" s="117">
        <v>3000.0</v>
      </c>
      <c r="I4" s="52" t="s">
        <v>101</v>
      </c>
      <c r="J4" s="52" t="s">
        <v>202</v>
      </c>
      <c r="K4" s="52" t="s">
        <v>203</v>
      </c>
      <c r="L4" s="118" t="s">
        <v>104</v>
      </c>
      <c r="M4" s="44"/>
      <c r="N4" s="44"/>
      <c r="O4" s="44"/>
      <c r="P4" s="44"/>
      <c r="Q4" s="44"/>
      <c r="R4" s="44"/>
      <c r="S4" s="44"/>
      <c r="T4" s="44"/>
      <c r="U4" s="44"/>
      <c r="V4" s="44"/>
    </row>
    <row r="5" ht="27.0" customHeight="1">
      <c r="A5" s="52" t="s">
        <v>204</v>
      </c>
      <c r="B5" s="117">
        <v>5000.0</v>
      </c>
      <c r="C5" s="118" t="s">
        <v>99</v>
      </c>
      <c r="D5" s="52" t="s">
        <v>204</v>
      </c>
      <c r="E5" s="117">
        <v>0.0</v>
      </c>
      <c r="F5" s="118" t="s">
        <v>101</v>
      </c>
      <c r="G5" s="52" t="s">
        <v>101</v>
      </c>
      <c r="H5" s="117">
        <v>5000.0</v>
      </c>
      <c r="I5" s="52" t="s">
        <v>101</v>
      </c>
      <c r="J5" s="52" t="s">
        <v>205</v>
      </c>
      <c r="K5" s="52" t="s">
        <v>101</v>
      </c>
      <c r="L5" s="118" t="s">
        <v>199</v>
      </c>
      <c r="M5" s="44"/>
      <c r="N5" s="44"/>
      <c r="O5" s="44"/>
      <c r="P5" s="44"/>
      <c r="Q5" s="44"/>
      <c r="R5" s="44"/>
      <c r="S5" s="44"/>
      <c r="T5" s="44"/>
      <c r="U5" s="44"/>
      <c r="V5" s="44"/>
    </row>
    <row r="6" ht="22.5" customHeight="1">
      <c r="A6" s="52" t="s">
        <v>206</v>
      </c>
      <c r="B6" s="117">
        <v>12000.0</v>
      </c>
      <c r="C6" s="118" t="s">
        <v>99</v>
      </c>
      <c r="D6" s="52" t="s">
        <v>206</v>
      </c>
      <c r="E6" s="117">
        <v>0.0</v>
      </c>
      <c r="F6" s="118" t="s">
        <v>101</v>
      </c>
      <c r="G6" s="52" t="s">
        <v>101</v>
      </c>
      <c r="H6" s="117">
        <v>4500.0</v>
      </c>
      <c r="I6" s="52" t="s">
        <v>101</v>
      </c>
      <c r="J6" s="52" t="s">
        <v>207</v>
      </c>
      <c r="K6" s="52" t="s">
        <v>101</v>
      </c>
      <c r="L6" s="118" t="s">
        <v>208</v>
      </c>
      <c r="M6" s="44"/>
      <c r="N6" s="44"/>
      <c r="O6" s="44"/>
      <c r="P6" s="44"/>
      <c r="Q6" s="44"/>
      <c r="R6" s="44"/>
      <c r="S6" s="44"/>
      <c r="T6" s="44"/>
      <c r="U6" s="44"/>
      <c r="V6" s="44"/>
    </row>
    <row r="7" ht="29.25" customHeight="1">
      <c r="A7" s="52" t="s">
        <v>209</v>
      </c>
      <c r="B7" s="117">
        <v>170000.0</v>
      </c>
      <c r="C7" s="118" t="s">
        <v>99</v>
      </c>
      <c r="D7" s="52" t="s">
        <v>210</v>
      </c>
      <c r="E7" s="117">
        <v>2.0</v>
      </c>
      <c r="F7" s="118" t="s">
        <v>211</v>
      </c>
      <c r="G7" s="52" t="s">
        <v>212</v>
      </c>
      <c r="H7" s="117">
        <v>90000.0</v>
      </c>
      <c r="I7" s="52">
        <v>72.0</v>
      </c>
      <c r="J7" s="52" t="s">
        <v>213</v>
      </c>
      <c r="K7" s="52" t="s">
        <v>214</v>
      </c>
      <c r="L7" s="118" t="s">
        <v>104</v>
      </c>
      <c r="M7" s="44"/>
      <c r="N7" s="44"/>
      <c r="O7" s="44"/>
      <c r="P7" s="44"/>
      <c r="Q7" s="44"/>
      <c r="R7" s="44"/>
      <c r="S7" s="44"/>
      <c r="T7" s="44"/>
      <c r="U7" s="44"/>
      <c r="V7" s="44"/>
    </row>
    <row r="8" ht="27.75" customHeight="1">
      <c r="A8" s="52" t="s">
        <v>215</v>
      </c>
      <c r="B8" s="117">
        <v>50000.0</v>
      </c>
      <c r="C8" s="118" t="s">
        <v>99</v>
      </c>
      <c r="D8" s="52" t="s">
        <v>210</v>
      </c>
      <c r="E8" s="117">
        <v>0.0</v>
      </c>
      <c r="F8" s="118" t="s">
        <v>101</v>
      </c>
      <c r="G8" s="52" t="s">
        <v>101</v>
      </c>
      <c r="H8" s="117">
        <v>50000.0</v>
      </c>
      <c r="I8" s="52" t="s">
        <v>101</v>
      </c>
      <c r="J8" s="52" t="s">
        <v>216</v>
      </c>
      <c r="K8" s="52" t="s">
        <v>214</v>
      </c>
      <c r="L8" s="118" t="s">
        <v>208</v>
      </c>
      <c r="M8" s="44"/>
      <c r="N8" s="44"/>
      <c r="O8" s="44"/>
      <c r="P8" s="44"/>
      <c r="Q8" s="44"/>
      <c r="R8" s="44"/>
      <c r="S8" s="44"/>
      <c r="T8" s="44"/>
      <c r="U8" s="44"/>
      <c r="V8" s="44"/>
    </row>
    <row r="9" ht="23.25" customHeight="1">
      <c r="A9" s="52" t="s">
        <v>217</v>
      </c>
      <c r="B9" s="117">
        <v>70000.0</v>
      </c>
      <c r="C9" s="118" t="s">
        <v>99</v>
      </c>
      <c r="D9" s="52" t="s">
        <v>210</v>
      </c>
      <c r="E9" s="117">
        <v>0.0</v>
      </c>
      <c r="F9" s="118" t="s">
        <v>101</v>
      </c>
      <c r="G9" s="52" t="s">
        <v>212</v>
      </c>
      <c r="H9" s="117">
        <v>10000.0</v>
      </c>
      <c r="I9" s="52" t="s">
        <v>101</v>
      </c>
      <c r="J9" s="52" t="s">
        <v>218</v>
      </c>
      <c r="K9" s="52" t="s">
        <v>214</v>
      </c>
      <c r="L9" s="119"/>
      <c r="M9" s="120"/>
      <c r="N9" s="120"/>
      <c r="O9" s="120"/>
      <c r="P9" s="120"/>
      <c r="Q9" s="120"/>
      <c r="R9" s="120"/>
      <c r="S9" s="120"/>
      <c r="T9" s="120"/>
      <c r="U9" s="120"/>
      <c r="V9" s="120"/>
    </row>
    <row r="10" ht="27.0" customHeight="1">
      <c r="A10" s="52" t="s">
        <v>219</v>
      </c>
      <c r="B10" s="117">
        <v>6000.0</v>
      </c>
      <c r="C10" s="118" t="s">
        <v>99</v>
      </c>
      <c r="D10" s="52" t="s">
        <v>220</v>
      </c>
      <c r="E10" s="117">
        <v>0.0</v>
      </c>
      <c r="F10" s="118" t="s">
        <v>101</v>
      </c>
      <c r="G10" s="52" t="s">
        <v>101</v>
      </c>
      <c r="H10" s="117">
        <v>6000.0</v>
      </c>
      <c r="I10" s="52" t="s">
        <v>101</v>
      </c>
      <c r="J10" s="52" t="s">
        <v>221</v>
      </c>
      <c r="K10" s="52" t="s">
        <v>214</v>
      </c>
      <c r="L10" s="119"/>
      <c r="M10" s="120"/>
      <c r="N10" s="120"/>
      <c r="O10" s="120"/>
      <c r="P10" s="120"/>
      <c r="Q10" s="120"/>
      <c r="R10" s="120"/>
      <c r="S10" s="120"/>
      <c r="T10" s="120"/>
      <c r="U10" s="120"/>
      <c r="V10" s="120"/>
    </row>
    <row r="11" ht="27.75" customHeight="1">
      <c r="A11" s="60" t="s">
        <v>222</v>
      </c>
      <c r="B11" s="121">
        <v>15000.0</v>
      </c>
      <c r="C11" s="122" t="s">
        <v>99</v>
      </c>
      <c r="D11" s="60" t="s">
        <v>223</v>
      </c>
      <c r="E11" s="121">
        <v>0.0</v>
      </c>
      <c r="F11" s="122"/>
      <c r="G11" s="60"/>
      <c r="H11" s="121">
        <v>15000.0</v>
      </c>
      <c r="I11" s="60"/>
      <c r="J11" s="60" t="s">
        <v>224</v>
      </c>
      <c r="K11" s="60" t="s">
        <v>101</v>
      </c>
      <c r="L11" s="123"/>
      <c r="M11" s="120"/>
      <c r="N11" s="120"/>
      <c r="O11" s="120"/>
      <c r="P11" s="120"/>
      <c r="Q11" s="120"/>
      <c r="R11" s="120"/>
      <c r="S11" s="120"/>
      <c r="T11" s="120"/>
      <c r="U11" s="120"/>
      <c r="V11" s="120"/>
    </row>
    <row r="12">
      <c r="A12" s="120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</row>
    <row r="13">
      <c r="A13" s="120"/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</row>
    <row r="14">
      <c r="A14" s="120"/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</row>
    <row r="15">
      <c r="A15" s="120"/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</row>
    <row r="16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</row>
    <row r="17">
      <c r="A17" s="120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</row>
    <row r="18">
      <c r="A18" s="120"/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</row>
    <row r="19">
      <c r="A19" s="120"/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</row>
    <row r="20">
      <c r="A20" s="120"/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</row>
    <row r="21">
      <c r="A21" s="120"/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</row>
    <row r="22">
      <c r="A22" s="120"/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</row>
    <row r="23">
      <c r="A23" s="120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</row>
    <row r="24">
      <c r="A24" s="120"/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</row>
    <row r="25">
      <c r="A25" s="120"/>
      <c r="B25" s="120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</row>
    <row r="26">
      <c r="A26" s="120"/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</row>
    <row r="27">
      <c r="A27" s="120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</row>
    <row r="28">
      <c r="A28" s="120"/>
      <c r="B28" s="120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</row>
    <row r="29">
      <c r="A29" s="120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</row>
    <row r="30">
      <c r="A30" s="120"/>
      <c r="B30" s="120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</row>
    <row r="31">
      <c r="A31" s="120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</row>
    <row r="32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</row>
    <row r="33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</row>
    <row r="34">
      <c r="A34" s="120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</row>
    <row r="35">
      <c r="A35" s="120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</row>
    <row r="36">
      <c r="A36" s="120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</row>
    <row r="37">
      <c r="A37" s="120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</row>
    <row r="38">
      <c r="A38" s="120"/>
      <c r="B38" s="120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</row>
    <row r="39">
      <c r="A39" s="120"/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</row>
    <row r="40">
      <c r="A40" s="120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</row>
    <row r="41">
      <c r="A41" s="120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</row>
    <row r="42">
      <c r="A42" s="120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</row>
    <row r="44">
      <c r="A44" s="120"/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</row>
    <row r="45">
      <c r="A45" s="120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</row>
    <row r="46">
      <c r="A46" s="120"/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</row>
    <row r="47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</row>
    <row r="48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</row>
    <row r="49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</row>
    <row r="50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</row>
    <row r="5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</row>
    <row r="5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</row>
    <row r="5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</row>
    <row r="54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</row>
    <row r="5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</row>
    <row r="56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</row>
    <row r="57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</row>
    <row r="58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</row>
    <row r="59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</row>
    <row r="60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</row>
    <row r="6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</row>
    <row r="6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</row>
    <row r="6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</row>
    <row r="64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</row>
    <row r="6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</row>
    <row r="66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</row>
    <row r="67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</row>
    <row r="68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</row>
    <row r="69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</row>
    <row r="70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</row>
    <row r="7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</row>
    <row r="74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</row>
    <row r="76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</row>
    <row r="77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</row>
    <row r="78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</row>
    <row r="79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</row>
    <row r="80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</row>
    <row r="8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</row>
    <row r="8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</row>
    <row r="84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</row>
    <row r="8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</row>
    <row r="86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</row>
    <row r="87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</row>
    <row r="88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</row>
    <row r="89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</row>
    <row r="9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</row>
    <row r="9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</row>
    <row r="9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</row>
    <row r="94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</row>
    <row r="9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</row>
    <row r="96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</row>
    <row r="97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</row>
    <row r="9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</row>
    <row r="99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</row>
  </sheetData>
  <dataValidations>
    <dataValidation type="list" allowBlank="1" showDropDown="1" showErrorMessage="1" sqref="F2:F11">
      <formula1>"NA,6 year"</formula1>
    </dataValidation>
    <dataValidation type="list" allowBlank="1" showErrorMessage="1" sqref="L2:L11">
      <formula1>"Low,High,Medium"</formula1>
    </dataValidation>
    <dataValidation type="list" allowBlank="1" showErrorMessage="1" sqref="C2:C11">
      <formula1>"Goodwill,Borrowing"</formula1>
    </dataValidation>
    <dataValidation type="custom" allowBlank="1" showDropDown="1" sqref="B2:B11 E2:E11 H2:H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4" max="4" width="35.75"/>
  </cols>
  <sheetData>
    <row r="1">
      <c r="A1" s="124" t="s">
        <v>86</v>
      </c>
      <c r="B1" s="124" t="s">
        <v>225</v>
      </c>
      <c r="C1" s="124" t="s">
        <v>92</v>
      </c>
      <c r="D1" s="124" t="s">
        <v>226</v>
      </c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>
      <c r="A2" s="53" t="s">
        <v>227</v>
      </c>
      <c r="B2" s="126">
        <v>45659.0</v>
      </c>
      <c r="C2" s="127"/>
      <c r="D2" s="53" t="s">
        <v>228</v>
      </c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53" t="s">
        <v>229</v>
      </c>
      <c r="B3" s="53" t="s">
        <v>230</v>
      </c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53" t="s">
        <v>231</v>
      </c>
      <c r="B4" s="53" t="s">
        <v>232</v>
      </c>
      <c r="C4" s="127"/>
      <c r="D4" s="53" t="s">
        <v>233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53" t="s">
        <v>234</v>
      </c>
      <c r="B5" s="53" t="s">
        <v>232</v>
      </c>
      <c r="C5" s="127"/>
      <c r="D5" s="53" t="s">
        <v>235</v>
      </c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53" t="s">
        <v>236</v>
      </c>
      <c r="B6" s="126">
        <v>45659.0</v>
      </c>
      <c r="C6" s="127"/>
      <c r="D6" s="53" t="s">
        <v>237</v>
      </c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53" t="s">
        <v>238</v>
      </c>
      <c r="B7" s="53" t="s">
        <v>239</v>
      </c>
      <c r="C7" s="127"/>
      <c r="D7" s="53" t="s">
        <v>240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1.5"/>
    <col customWidth="1" min="2" max="35" width="13.25"/>
  </cols>
  <sheetData>
    <row r="1">
      <c r="A1" s="128" t="s">
        <v>241</v>
      </c>
      <c r="B1" s="128" t="s">
        <v>16</v>
      </c>
      <c r="C1" s="128" t="s">
        <v>242</v>
      </c>
      <c r="D1" s="128" t="s">
        <v>243</v>
      </c>
      <c r="E1" s="128" t="s">
        <v>244</v>
      </c>
      <c r="F1" s="128" t="s">
        <v>245</v>
      </c>
      <c r="G1" s="128" t="s">
        <v>19</v>
      </c>
      <c r="H1" s="128" t="s">
        <v>17</v>
      </c>
      <c r="I1" s="128" t="s">
        <v>246</v>
      </c>
      <c r="J1" s="128" t="s">
        <v>247</v>
      </c>
      <c r="K1" s="128" t="s">
        <v>248</v>
      </c>
      <c r="L1" s="129" t="s">
        <v>249</v>
      </c>
      <c r="M1" s="128" t="s">
        <v>250</v>
      </c>
      <c r="N1" s="130" t="s">
        <v>251</v>
      </c>
      <c r="O1" s="128" t="s">
        <v>252</v>
      </c>
      <c r="P1" s="128" t="s">
        <v>253</v>
      </c>
      <c r="Q1" s="128" t="s">
        <v>254</v>
      </c>
      <c r="R1" s="128" t="s">
        <v>255</v>
      </c>
      <c r="S1" s="128" t="s">
        <v>256</v>
      </c>
      <c r="T1" s="131" t="s">
        <v>257</v>
      </c>
      <c r="U1" s="128" t="s">
        <v>258</v>
      </c>
      <c r="V1" s="128" t="s">
        <v>259</v>
      </c>
      <c r="W1" s="128" t="s">
        <v>260</v>
      </c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>
      <c r="A2" s="128" t="s">
        <v>261</v>
      </c>
      <c r="B2" s="132" t="s">
        <v>262</v>
      </c>
      <c r="C2" s="132" t="s">
        <v>263</v>
      </c>
      <c r="D2" s="132" t="s">
        <v>264</v>
      </c>
      <c r="E2" s="132" t="s">
        <v>265</v>
      </c>
      <c r="F2" s="132" t="s">
        <v>266</v>
      </c>
      <c r="G2" s="132" t="s">
        <v>267</v>
      </c>
      <c r="H2" s="132" t="s">
        <v>268</v>
      </c>
      <c r="I2" s="132" t="s">
        <v>269</v>
      </c>
      <c r="J2" s="132" t="s">
        <v>270</v>
      </c>
      <c r="K2" s="132" t="s">
        <v>271</v>
      </c>
      <c r="L2" s="133" t="s">
        <v>272</v>
      </c>
      <c r="M2" s="132" t="s">
        <v>273</v>
      </c>
      <c r="N2" s="134" t="s">
        <v>274</v>
      </c>
      <c r="O2" s="132" t="s">
        <v>275</v>
      </c>
      <c r="P2" s="132">
        <v>0.4</v>
      </c>
      <c r="Q2" s="132">
        <v>0.3</v>
      </c>
      <c r="R2" s="132">
        <v>0.2</v>
      </c>
      <c r="S2" s="132">
        <v>0.1</v>
      </c>
      <c r="T2" s="134">
        <v>0.15</v>
      </c>
      <c r="U2" s="132">
        <v>6.0</v>
      </c>
      <c r="V2" s="132">
        <v>3.0</v>
      </c>
      <c r="W2" s="132">
        <v>12.0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</row>
    <row r="3">
      <c r="A3" s="135">
        <v>45566.0</v>
      </c>
      <c r="B3" s="132">
        <v>79000.0</v>
      </c>
      <c r="C3" s="132">
        <v>0.0</v>
      </c>
      <c r="D3" s="132">
        <v>45683.0</v>
      </c>
      <c r="E3" s="132">
        <v>0.0</v>
      </c>
      <c r="F3" s="132">
        <v>36738.0</v>
      </c>
      <c r="G3" s="132">
        <v>2400.0</v>
      </c>
      <c r="H3" s="132">
        <f> (B3 + C3 ) - (D3 + E3 + F3 + G3)</f>
        <v>-5821</v>
      </c>
      <c r="I3" s="132">
        <v>100000.0</v>
      </c>
      <c r="J3" s="132">
        <v>0.0</v>
      </c>
      <c r="K3" s="132">
        <v>1500.0</v>
      </c>
      <c r="L3" s="136">
        <f>(M3 + N3 + O3)/2</f>
        <v>-14.1309775</v>
      </c>
      <c r="M3" s="44">
        <f> ((H3/ R3) + (G3/S3) + (C3/B3) ) * 100/3</f>
        <v>-2.154008439</v>
      </c>
      <c r="N3" s="137">
        <f> (2 - ((D3/P3) + (E3/T3) + (F3/Q3)))*100/3</f>
        <v>-33.19303797</v>
      </c>
      <c r="O3" s="132">
        <f>((I3/U3) +(J3/V3) + (K3/W3))*(100/3)</f>
        <v>7.085091421</v>
      </c>
      <c r="P3" s="138">
        <f> P2 * B3</f>
        <v>31600</v>
      </c>
      <c r="Q3" s="132">
        <f>Q2*B3</f>
        <v>23700</v>
      </c>
      <c r="R3" s="138">
        <f>R2*B3</f>
        <v>15800</v>
      </c>
      <c r="S3" s="138">
        <f>S2*B3 + S2 * 3 * C3</f>
        <v>7900</v>
      </c>
      <c r="T3" s="137">
        <f> 0.7 * C3 + B3 *T2 /3</f>
        <v>3950</v>
      </c>
      <c r="U3" s="138">
        <f> U2 * B3</f>
        <v>474000</v>
      </c>
      <c r="V3" s="138">
        <f>V2*B3</f>
        <v>237000</v>
      </c>
      <c r="W3" s="138">
        <f>W2*B3</f>
        <v>948000</v>
      </c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</row>
    <row r="4">
      <c r="A4" s="135">
        <v>45778.0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6"/>
      <c r="M4" s="138"/>
      <c r="N4" s="137"/>
      <c r="O4" s="138"/>
      <c r="P4" s="138"/>
      <c r="Q4" s="138"/>
      <c r="R4" s="138"/>
      <c r="S4" s="138"/>
      <c r="T4" s="137"/>
      <c r="U4" s="138"/>
      <c r="V4" s="138"/>
      <c r="W4" s="138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</row>
    <row r="5">
      <c r="A5" s="135">
        <v>45809.0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6"/>
      <c r="M5" s="138"/>
      <c r="N5" s="137"/>
      <c r="O5" s="138"/>
      <c r="P5" s="138"/>
      <c r="Q5" s="138"/>
      <c r="R5" s="138"/>
      <c r="S5" s="138"/>
      <c r="T5" s="137"/>
      <c r="U5" s="138"/>
      <c r="V5" s="138"/>
      <c r="W5" s="138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</row>
    <row r="6">
      <c r="A6" s="135">
        <v>45839.0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6"/>
      <c r="M6" s="138"/>
      <c r="N6" s="137"/>
      <c r="O6" s="138"/>
      <c r="P6" s="138"/>
      <c r="Q6" s="138"/>
      <c r="R6" s="138"/>
      <c r="S6" s="138"/>
      <c r="T6" s="137"/>
      <c r="U6" s="138"/>
      <c r="V6" s="138"/>
      <c r="W6" s="138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</row>
    <row r="7">
      <c r="A7" s="135">
        <v>45870.0</v>
      </c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6"/>
      <c r="M7" s="138"/>
      <c r="N7" s="137"/>
      <c r="O7" s="138"/>
      <c r="P7" s="138"/>
      <c r="Q7" s="138"/>
      <c r="R7" s="138"/>
      <c r="S7" s="138"/>
      <c r="T7" s="137"/>
      <c r="U7" s="138"/>
      <c r="V7" s="138"/>
      <c r="W7" s="138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</row>
    <row r="8">
      <c r="A8" s="135">
        <v>45901.0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6"/>
      <c r="M8" s="138"/>
      <c r="N8" s="137"/>
      <c r="O8" s="138"/>
      <c r="P8" s="138"/>
      <c r="Q8" s="138"/>
      <c r="R8" s="138"/>
      <c r="S8" s="138"/>
      <c r="T8" s="137"/>
      <c r="U8" s="138"/>
      <c r="V8" s="138"/>
      <c r="W8" s="138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</row>
    <row r="9">
      <c r="A9" s="135">
        <v>45931.0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6"/>
      <c r="M9" s="138"/>
      <c r="N9" s="137"/>
      <c r="O9" s="138"/>
      <c r="P9" s="138"/>
      <c r="Q9" s="138"/>
      <c r="R9" s="138"/>
      <c r="S9" s="138"/>
      <c r="T9" s="137"/>
      <c r="U9" s="138"/>
      <c r="V9" s="138"/>
      <c r="W9" s="138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</row>
    <row r="10">
      <c r="A10" s="135">
        <v>45962.0</v>
      </c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6"/>
      <c r="M10" s="138"/>
      <c r="N10" s="137"/>
      <c r="O10" s="138"/>
      <c r="P10" s="138"/>
      <c r="Q10" s="138"/>
      <c r="R10" s="138"/>
      <c r="S10" s="138"/>
      <c r="T10" s="137"/>
      <c r="U10" s="138"/>
      <c r="V10" s="138"/>
      <c r="W10" s="138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</row>
    <row r="11">
      <c r="A11" s="139">
        <v>45992.0</v>
      </c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6"/>
      <c r="M11" s="138"/>
      <c r="N11" s="137"/>
      <c r="O11" s="138"/>
      <c r="P11" s="138"/>
      <c r="Q11" s="138"/>
      <c r="R11" s="138"/>
      <c r="S11" s="138"/>
      <c r="T11" s="137"/>
      <c r="U11" s="138"/>
      <c r="V11" s="138"/>
      <c r="W11" s="138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</row>
    <row r="12">
      <c r="A12" s="135">
        <v>46023.0</v>
      </c>
      <c r="B12" s="140"/>
      <c r="C12" s="138"/>
      <c r="D12" s="138"/>
      <c r="E12" s="138"/>
      <c r="F12" s="138"/>
      <c r="G12" s="138"/>
      <c r="H12" s="138"/>
      <c r="I12" s="138"/>
      <c r="J12" s="138"/>
      <c r="K12" s="138"/>
      <c r="L12" s="136"/>
      <c r="M12" s="138"/>
      <c r="N12" s="137"/>
      <c r="O12" s="138"/>
      <c r="P12" s="138"/>
      <c r="Q12" s="138"/>
      <c r="R12" s="138"/>
      <c r="S12" s="138"/>
      <c r="T12" s="137"/>
      <c r="U12" s="138"/>
      <c r="V12" s="138"/>
      <c r="W12" s="138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>
      <c r="A13" s="139">
        <v>46054.0</v>
      </c>
      <c r="B13" s="140"/>
      <c r="C13" s="138"/>
      <c r="D13" s="138"/>
      <c r="E13" s="138"/>
      <c r="F13" s="138"/>
      <c r="G13" s="138"/>
      <c r="H13" s="138"/>
      <c r="I13" s="138"/>
      <c r="J13" s="138"/>
      <c r="K13" s="138"/>
      <c r="L13" s="136"/>
      <c r="M13" s="138"/>
      <c r="N13" s="137"/>
      <c r="O13" s="138"/>
      <c r="P13" s="138"/>
      <c r="Q13" s="138"/>
      <c r="R13" s="138"/>
      <c r="S13" s="138"/>
      <c r="T13" s="137"/>
      <c r="U13" s="138"/>
      <c r="V13" s="138"/>
      <c r="W13" s="138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>
      <c r="A14" s="135">
        <v>46082.0</v>
      </c>
      <c r="B14" s="140"/>
      <c r="C14" s="138"/>
      <c r="D14" s="138"/>
      <c r="E14" s="138"/>
      <c r="F14" s="138"/>
      <c r="G14" s="138"/>
      <c r="H14" s="138"/>
      <c r="I14" s="138"/>
      <c r="J14" s="138"/>
      <c r="K14" s="138"/>
      <c r="L14" s="136"/>
      <c r="M14" s="138"/>
      <c r="N14" s="137"/>
      <c r="O14" s="138"/>
      <c r="P14" s="138"/>
      <c r="Q14" s="138"/>
      <c r="R14" s="138"/>
      <c r="S14" s="138"/>
      <c r="T14" s="137"/>
      <c r="U14" s="138"/>
      <c r="V14" s="138"/>
      <c r="W14" s="138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>
      <c r="A15" s="139">
        <v>46113.0</v>
      </c>
      <c r="B15" s="140"/>
      <c r="C15" s="138"/>
      <c r="D15" s="138"/>
      <c r="E15" s="138"/>
      <c r="F15" s="138"/>
      <c r="G15" s="138"/>
      <c r="H15" s="138"/>
      <c r="I15" s="138"/>
      <c r="J15" s="138"/>
      <c r="K15" s="138"/>
      <c r="L15" s="136"/>
      <c r="M15" s="138"/>
      <c r="N15" s="137"/>
      <c r="O15" s="138"/>
      <c r="P15" s="138"/>
      <c r="Q15" s="138"/>
      <c r="R15" s="138"/>
      <c r="S15" s="138"/>
      <c r="T15" s="137"/>
      <c r="U15" s="138"/>
      <c r="V15" s="138"/>
      <c r="W15" s="138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</row>
    <row r="16">
      <c r="A16" s="135">
        <v>46143.0</v>
      </c>
      <c r="B16" s="140"/>
      <c r="C16" s="138"/>
      <c r="D16" s="138"/>
      <c r="E16" s="138"/>
      <c r="F16" s="138"/>
      <c r="G16" s="138"/>
      <c r="H16" s="138"/>
      <c r="I16" s="138"/>
      <c r="J16" s="138"/>
      <c r="K16" s="138"/>
      <c r="L16" s="136"/>
      <c r="M16" s="138"/>
      <c r="N16" s="137"/>
      <c r="O16" s="138"/>
      <c r="P16" s="138"/>
      <c r="Q16" s="138"/>
      <c r="R16" s="138"/>
      <c r="S16" s="138"/>
      <c r="T16" s="137"/>
      <c r="U16" s="138"/>
      <c r="V16" s="138"/>
      <c r="W16" s="138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</row>
    <row r="17">
      <c r="A17" s="135">
        <v>46174.0</v>
      </c>
      <c r="B17" s="140"/>
      <c r="C17" s="138"/>
      <c r="D17" s="138"/>
      <c r="E17" s="138"/>
      <c r="F17" s="138"/>
      <c r="G17" s="138"/>
      <c r="H17" s="138"/>
      <c r="I17" s="138"/>
      <c r="J17" s="138"/>
      <c r="K17" s="138"/>
      <c r="L17" s="136"/>
      <c r="M17" s="138"/>
      <c r="N17" s="137"/>
      <c r="O17" s="138"/>
      <c r="P17" s="138"/>
      <c r="Q17" s="138"/>
      <c r="R17" s="138"/>
      <c r="S17" s="138"/>
      <c r="T17" s="137"/>
      <c r="U17" s="138"/>
      <c r="V17" s="138"/>
      <c r="W17" s="138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</row>
    <row r="18">
      <c r="A18" s="141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142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</row>
    <row r="19">
      <c r="A19" s="141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142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</row>
    <row r="20">
      <c r="A20" s="141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142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>
      <c r="A21" s="141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142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>
      <c r="A22" s="141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142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>
      <c r="A23" s="141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142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>
      <c r="A24" s="141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142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>
      <c r="A25" s="141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142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>
      <c r="A26" s="141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142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>
      <c r="A27" s="141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142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>
      <c r="A28" s="141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142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>
      <c r="A29" s="141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142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>
      <c r="A30" s="141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142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>
      <c r="A31" s="141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142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>
      <c r="A32" s="141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142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>
      <c r="A33" s="141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142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>
      <c r="A34" s="141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142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>
      <c r="A35" s="141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142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>
      <c r="A36" s="141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142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>
      <c r="A37" s="141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142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>
      <c r="A38" s="141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142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>
      <c r="A39" s="141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142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</row>
    <row r="40">
      <c r="A40" s="141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142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</row>
    <row r="41">
      <c r="A41" s="141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142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</row>
    <row r="42">
      <c r="A42" s="141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142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</row>
    <row r="43">
      <c r="A43" s="141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142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</row>
    <row r="44">
      <c r="A44" s="141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142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>
      <c r="A45" s="141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142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</row>
    <row r="46">
      <c r="A46" s="141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142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</row>
    <row r="47">
      <c r="A47" s="141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142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</row>
    <row r="48">
      <c r="A48" s="141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142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</row>
    <row r="49">
      <c r="A49" s="141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142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</row>
    <row r="50">
      <c r="A50" s="141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142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</row>
    <row r="51">
      <c r="A51" s="141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142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</row>
    <row r="52">
      <c r="A52" s="141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142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</row>
    <row r="53">
      <c r="A53" s="141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142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</row>
    <row r="54">
      <c r="A54" s="141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142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</row>
    <row r="55">
      <c r="A55" s="141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142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</row>
    <row r="56">
      <c r="A56" s="141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142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</row>
    <row r="57">
      <c r="A57" s="141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142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</row>
    <row r="58">
      <c r="A58" s="141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142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</row>
    <row r="59">
      <c r="A59" s="141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142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</row>
    <row r="60">
      <c r="A60" s="141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142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</row>
    <row r="61">
      <c r="A61" s="141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142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</row>
    <row r="62">
      <c r="A62" s="141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142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</row>
    <row r="63">
      <c r="A63" s="141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142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</row>
    <row r="64">
      <c r="A64" s="141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142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</row>
    <row r="65">
      <c r="A65" s="141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142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</row>
    <row r="66">
      <c r="A66" s="141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142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</row>
    <row r="67">
      <c r="A67" s="141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142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</row>
    <row r="68">
      <c r="A68" s="141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142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</row>
    <row r="69">
      <c r="A69" s="141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142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</row>
    <row r="70">
      <c r="A70" s="141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142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</row>
    <row r="71">
      <c r="A71" s="141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142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</row>
    <row r="72">
      <c r="A72" s="141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142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</row>
    <row r="73">
      <c r="A73" s="141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142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</row>
    <row r="74">
      <c r="A74" s="141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142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</row>
    <row r="75">
      <c r="A75" s="141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142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</row>
    <row r="76">
      <c r="A76" s="141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142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</row>
    <row r="77">
      <c r="A77" s="141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142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</row>
    <row r="78">
      <c r="A78" s="141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142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</row>
    <row r="79">
      <c r="A79" s="141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142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</row>
    <row r="80">
      <c r="A80" s="141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142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</row>
    <row r="81">
      <c r="A81" s="141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142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</row>
    <row r="82">
      <c r="A82" s="141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142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</row>
    <row r="83">
      <c r="A83" s="141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142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</row>
    <row r="84">
      <c r="A84" s="141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142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</row>
    <row r="85">
      <c r="A85" s="141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142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</row>
    <row r="86">
      <c r="A86" s="141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142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</row>
    <row r="87">
      <c r="A87" s="141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142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</row>
    <row r="88">
      <c r="A88" s="141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142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</row>
    <row r="89">
      <c r="A89" s="141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142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</row>
    <row r="90">
      <c r="A90" s="141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142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</row>
    <row r="91">
      <c r="A91" s="141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142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</row>
    <row r="92">
      <c r="A92" s="141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142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</row>
    <row r="93">
      <c r="A93" s="141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142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</row>
    <row r="94">
      <c r="A94" s="141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142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</row>
    <row r="95">
      <c r="A95" s="141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142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</row>
    <row r="96">
      <c r="A96" s="141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142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</row>
    <row r="97">
      <c r="A97" s="141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142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</row>
    <row r="98">
      <c r="A98" s="141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142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</row>
    <row r="99">
      <c r="A99" s="141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142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</row>
    <row r="100">
      <c r="A100" s="141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142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</row>
    <row r="101">
      <c r="A101" s="141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142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</row>
    <row r="102">
      <c r="A102" s="141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142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</row>
    <row r="103">
      <c r="A103" s="141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142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</row>
    <row r="104">
      <c r="A104" s="141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142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</row>
    <row r="105">
      <c r="A105" s="141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142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</row>
    <row r="106">
      <c r="A106" s="141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142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</row>
    <row r="107">
      <c r="A107" s="141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142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</row>
    <row r="108">
      <c r="A108" s="141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142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</row>
    <row r="109">
      <c r="A109" s="141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142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</row>
    <row r="110">
      <c r="A110" s="141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142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</row>
    <row r="111">
      <c r="A111" s="141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142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</row>
    <row r="112">
      <c r="A112" s="141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142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</row>
    <row r="113">
      <c r="A113" s="141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142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</row>
    <row r="114">
      <c r="A114" s="141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142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</row>
    <row r="115">
      <c r="A115" s="141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142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</row>
    <row r="116">
      <c r="A116" s="141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142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</row>
    <row r="117">
      <c r="A117" s="141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142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</row>
    <row r="118">
      <c r="A118" s="141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142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</row>
    <row r="119">
      <c r="A119" s="141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142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</row>
    <row r="120">
      <c r="A120" s="141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142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</row>
    <row r="121">
      <c r="A121" s="141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142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</row>
    <row r="122">
      <c r="A122" s="141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142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</row>
    <row r="123">
      <c r="A123" s="141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142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</row>
    <row r="124">
      <c r="A124" s="141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142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</row>
    <row r="125">
      <c r="A125" s="141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142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</row>
    <row r="126">
      <c r="A126" s="141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142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</row>
    <row r="127">
      <c r="A127" s="141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142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</row>
    <row r="128">
      <c r="A128" s="141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142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</row>
    <row r="129">
      <c r="A129" s="141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142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</row>
    <row r="130">
      <c r="A130" s="141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142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</row>
    <row r="131">
      <c r="A131" s="141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142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</row>
    <row r="132">
      <c r="A132" s="141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142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</row>
    <row r="133">
      <c r="A133" s="141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142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</row>
    <row r="134">
      <c r="A134" s="141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142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</row>
    <row r="135">
      <c r="A135" s="141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142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</row>
    <row r="136">
      <c r="A136" s="141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142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</row>
    <row r="137">
      <c r="A137" s="141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142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</row>
    <row r="138">
      <c r="A138" s="141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142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</row>
    <row r="139">
      <c r="A139" s="141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142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</row>
    <row r="140">
      <c r="A140" s="141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142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</row>
    <row r="141">
      <c r="A141" s="141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142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</row>
    <row r="142">
      <c r="A142" s="141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142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</row>
    <row r="143">
      <c r="A143" s="141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142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</row>
    <row r="144">
      <c r="A144" s="141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142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</row>
    <row r="145">
      <c r="A145" s="141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142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</row>
    <row r="146">
      <c r="A146" s="141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142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</row>
    <row r="147">
      <c r="A147" s="141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142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</row>
    <row r="148">
      <c r="A148" s="141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142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</row>
    <row r="149">
      <c r="A149" s="141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142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</row>
    <row r="150">
      <c r="A150" s="141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142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</row>
    <row r="151">
      <c r="A151" s="141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142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</row>
    <row r="152">
      <c r="A152" s="141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142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</row>
    <row r="153">
      <c r="A153" s="141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142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</row>
    <row r="154">
      <c r="A154" s="141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142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</row>
    <row r="155">
      <c r="A155" s="141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142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</row>
    <row r="156">
      <c r="A156" s="141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142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</row>
    <row r="157">
      <c r="A157" s="141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142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</row>
    <row r="158">
      <c r="A158" s="141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142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</row>
    <row r="159">
      <c r="A159" s="141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142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</row>
    <row r="160">
      <c r="A160" s="141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142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</row>
    <row r="161">
      <c r="A161" s="141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142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</row>
    <row r="162">
      <c r="A162" s="141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142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</row>
    <row r="163">
      <c r="A163" s="141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142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</row>
    <row r="164">
      <c r="A164" s="141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142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</row>
    <row r="165">
      <c r="A165" s="141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142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</row>
    <row r="166">
      <c r="A166" s="141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142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</row>
    <row r="167">
      <c r="A167" s="141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142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</row>
    <row r="168">
      <c r="A168" s="141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142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</row>
    <row r="169">
      <c r="A169" s="141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142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</row>
    <row r="170">
      <c r="A170" s="141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142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</row>
    <row r="171">
      <c r="A171" s="141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142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</row>
    <row r="172">
      <c r="A172" s="141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142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</row>
    <row r="173">
      <c r="A173" s="141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142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</row>
    <row r="174">
      <c r="A174" s="141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142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</row>
    <row r="175">
      <c r="A175" s="141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142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</row>
    <row r="176">
      <c r="A176" s="141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142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</row>
    <row r="177">
      <c r="A177" s="141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142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</row>
    <row r="178">
      <c r="A178" s="141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142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</row>
    <row r="179">
      <c r="A179" s="141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142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</row>
    <row r="180">
      <c r="A180" s="141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142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</row>
    <row r="181">
      <c r="A181" s="141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142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</row>
    <row r="182">
      <c r="A182" s="141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142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</row>
    <row r="183">
      <c r="A183" s="141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142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</row>
    <row r="184">
      <c r="A184" s="141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142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</row>
    <row r="185">
      <c r="A185" s="141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142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</row>
    <row r="186">
      <c r="A186" s="141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142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</row>
    <row r="187">
      <c r="A187" s="141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142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</row>
    <row r="188">
      <c r="A188" s="141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142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</row>
    <row r="189">
      <c r="A189" s="141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142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</row>
    <row r="190">
      <c r="A190" s="141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142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</row>
    <row r="191">
      <c r="A191" s="141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142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</row>
    <row r="192">
      <c r="A192" s="141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142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</row>
    <row r="193">
      <c r="A193" s="141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142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</row>
    <row r="194">
      <c r="A194" s="141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142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</row>
    <row r="195">
      <c r="A195" s="141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142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</row>
    <row r="196">
      <c r="A196" s="141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142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</row>
    <row r="197">
      <c r="A197" s="141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142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</row>
    <row r="198">
      <c r="A198" s="141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142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</row>
    <row r="199">
      <c r="A199" s="141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142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</row>
    <row r="200">
      <c r="A200" s="141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142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</row>
    <row r="201">
      <c r="A201" s="141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142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</row>
    <row r="202">
      <c r="A202" s="141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142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</row>
    <row r="203">
      <c r="A203" s="141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142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</row>
    <row r="204">
      <c r="A204" s="141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142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</row>
    <row r="205">
      <c r="A205" s="141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142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</row>
    <row r="206">
      <c r="A206" s="141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142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</row>
    <row r="207">
      <c r="A207" s="141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142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</row>
    <row r="208">
      <c r="A208" s="141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142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</row>
    <row r="209">
      <c r="A209" s="141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142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</row>
    <row r="210">
      <c r="A210" s="141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142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</row>
    <row r="211">
      <c r="A211" s="141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142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</row>
    <row r="212">
      <c r="A212" s="141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142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</row>
    <row r="213">
      <c r="A213" s="141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142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</row>
    <row r="214">
      <c r="A214" s="141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142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</row>
    <row r="215">
      <c r="A215" s="141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142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</row>
    <row r="216">
      <c r="A216" s="141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142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</row>
    <row r="217">
      <c r="A217" s="141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142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</row>
    <row r="218">
      <c r="A218" s="141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142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</row>
    <row r="219">
      <c r="A219" s="141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142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</row>
    <row r="220">
      <c r="A220" s="141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142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</row>
    <row r="221">
      <c r="A221" s="141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142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</row>
    <row r="222">
      <c r="A222" s="141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142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</row>
    <row r="223">
      <c r="A223" s="141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142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</row>
    <row r="224">
      <c r="A224" s="141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142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</row>
    <row r="225">
      <c r="A225" s="141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142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</row>
    <row r="226">
      <c r="A226" s="141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142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</row>
    <row r="227">
      <c r="A227" s="141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142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</row>
    <row r="228">
      <c r="A228" s="141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142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</row>
    <row r="229">
      <c r="A229" s="141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142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</row>
    <row r="230">
      <c r="A230" s="141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142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</row>
    <row r="231">
      <c r="A231" s="141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142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</row>
    <row r="232">
      <c r="A232" s="141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142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</row>
    <row r="233">
      <c r="A233" s="141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142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</row>
    <row r="234">
      <c r="A234" s="141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142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</row>
    <row r="235">
      <c r="A235" s="141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142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</row>
    <row r="236">
      <c r="A236" s="141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142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</row>
    <row r="237">
      <c r="A237" s="141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142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</row>
    <row r="238">
      <c r="A238" s="141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142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</row>
    <row r="239">
      <c r="A239" s="141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142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</row>
    <row r="240">
      <c r="A240" s="141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142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</row>
    <row r="241">
      <c r="A241" s="141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142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</row>
    <row r="242">
      <c r="A242" s="141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142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</row>
    <row r="243">
      <c r="A243" s="141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142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</row>
    <row r="244">
      <c r="A244" s="141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142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</row>
    <row r="245">
      <c r="A245" s="141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142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</row>
    <row r="246">
      <c r="A246" s="141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142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</row>
    <row r="247">
      <c r="A247" s="141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142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</row>
    <row r="248">
      <c r="A248" s="141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142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</row>
    <row r="249">
      <c r="A249" s="141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142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</row>
    <row r="250">
      <c r="A250" s="141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142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</row>
    <row r="251">
      <c r="A251" s="141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142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</row>
    <row r="252">
      <c r="A252" s="141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142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</row>
    <row r="253">
      <c r="A253" s="141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142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</row>
    <row r="254">
      <c r="A254" s="141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142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</row>
    <row r="255">
      <c r="A255" s="141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142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</row>
    <row r="256">
      <c r="A256" s="141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142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</row>
    <row r="257">
      <c r="A257" s="141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142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</row>
    <row r="258">
      <c r="A258" s="141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142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</row>
    <row r="259">
      <c r="A259" s="141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142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</row>
    <row r="260">
      <c r="A260" s="141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142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</row>
    <row r="261">
      <c r="A261" s="141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142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</row>
    <row r="262">
      <c r="A262" s="141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142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</row>
    <row r="263">
      <c r="A263" s="141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142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</row>
    <row r="264">
      <c r="A264" s="141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142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</row>
    <row r="265">
      <c r="A265" s="141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142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</row>
    <row r="266">
      <c r="A266" s="141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142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</row>
    <row r="267">
      <c r="A267" s="141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142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</row>
    <row r="268">
      <c r="A268" s="141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142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</row>
    <row r="269">
      <c r="A269" s="141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142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</row>
    <row r="270">
      <c r="A270" s="141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142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</row>
    <row r="271">
      <c r="A271" s="141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142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</row>
    <row r="272">
      <c r="A272" s="141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142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</row>
    <row r="273">
      <c r="A273" s="141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142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</row>
    <row r="274">
      <c r="A274" s="141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142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</row>
    <row r="275">
      <c r="A275" s="141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142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</row>
    <row r="276">
      <c r="A276" s="141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142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</row>
    <row r="277">
      <c r="A277" s="141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142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</row>
    <row r="278">
      <c r="A278" s="141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142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</row>
    <row r="279">
      <c r="A279" s="141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142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</row>
    <row r="280">
      <c r="A280" s="141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142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</row>
    <row r="281">
      <c r="A281" s="141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142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</row>
    <row r="282">
      <c r="A282" s="141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142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</row>
    <row r="283">
      <c r="A283" s="141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142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</row>
    <row r="284">
      <c r="A284" s="141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142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</row>
    <row r="285">
      <c r="A285" s="141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142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</row>
    <row r="286">
      <c r="A286" s="141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142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</row>
    <row r="287">
      <c r="A287" s="141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142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</row>
    <row r="288">
      <c r="A288" s="141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142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</row>
    <row r="289">
      <c r="A289" s="141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142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</row>
    <row r="290">
      <c r="A290" s="141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142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</row>
    <row r="291">
      <c r="A291" s="141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142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</row>
    <row r="292">
      <c r="A292" s="141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142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</row>
    <row r="293">
      <c r="A293" s="141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142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</row>
    <row r="294">
      <c r="A294" s="141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142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</row>
    <row r="295">
      <c r="A295" s="141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142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</row>
    <row r="296">
      <c r="A296" s="141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142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</row>
    <row r="297">
      <c r="A297" s="141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142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</row>
    <row r="298">
      <c r="A298" s="141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142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</row>
    <row r="299">
      <c r="A299" s="141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142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</row>
    <row r="300">
      <c r="A300" s="141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142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</row>
    <row r="301">
      <c r="A301" s="141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142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</row>
    <row r="302">
      <c r="A302" s="141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142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</row>
    <row r="303">
      <c r="A303" s="141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142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</row>
    <row r="304">
      <c r="A304" s="141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142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</row>
    <row r="305">
      <c r="A305" s="141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142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</row>
    <row r="306">
      <c r="A306" s="141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142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</row>
    <row r="307">
      <c r="A307" s="141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142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</row>
    <row r="308">
      <c r="A308" s="141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142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</row>
    <row r="309">
      <c r="A309" s="141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142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</row>
    <row r="310">
      <c r="A310" s="141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142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</row>
    <row r="311">
      <c r="A311" s="141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142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</row>
    <row r="312">
      <c r="A312" s="141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142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</row>
    <row r="313">
      <c r="A313" s="141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142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</row>
    <row r="314">
      <c r="A314" s="141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142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</row>
    <row r="315">
      <c r="A315" s="141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142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</row>
    <row r="316">
      <c r="A316" s="141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142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</row>
    <row r="317">
      <c r="A317" s="141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142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</row>
    <row r="318">
      <c r="A318" s="141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142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</row>
    <row r="319">
      <c r="A319" s="141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142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</row>
    <row r="320">
      <c r="A320" s="141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142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</row>
    <row r="321">
      <c r="A321" s="141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142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</row>
    <row r="322">
      <c r="A322" s="141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142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</row>
    <row r="323">
      <c r="A323" s="141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142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</row>
    <row r="324">
      <c r="A324" s="141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142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</row>
    <row r="325">
      <c r="A325" s="141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142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</row>
    <row r="326">
      <c r="A326" s="141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142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</row>
    <row r="327">
      <c r="A327" s="141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142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</row>
    <row r="328">
      <c r="A328" s="141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142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</row>
    <row r="329">
      <c r="A329" s="141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142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</row>
    <row r="330">
      <c r="A330" s="141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142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</row>
    <row r="331">
      <c r="A331" s="141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142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</row>
    <row r="332">
      <c r="A332" s="141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142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</row>
    <row r="333">
      <c r="A333" s="141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142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</row>
    <row r="334">
      <c r="A334" s="141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142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</row>
    <row r="335">
      <c r="A335" s="141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142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</row>
    <row r="336">
      <c r="A336" s="141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142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</row>
    <row r="337">
      <c r="A337" s="141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142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</row>
    <row r="338">
      <c r="A338" s="141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142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</row>
    <row r="339">
      <c r="A339" s="141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142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</row>
    <row r="340">
      <c r="A340" s="141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142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</row>
    <row r="341">
      <c r="A341" s="141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142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</row>
    <row r="342">
      <c r="A342" s="141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142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</row>
    <row r="343">
      <c r="A343" s="141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142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</row>
    <row r="344">
      <c r="A344" s="141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142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</row>
    <row r="345">
      <c r="A345" s="141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142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</row>
    <row r="346">
      <c r="A346" s="141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142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</row>
    <row r="347">
      <c r="A347" s="141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142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</row>
    <row r="348">
      <c r="A348" s="141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142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</row>
    <row r="349">
      <c r="A349" s="141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142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</row>
    <row r="350">
      <c r="A350" s="141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142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</row>
    <row r="351">
      <c r="A351" s="141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142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</row>
    <row r="352">
      <c r="A352" s="141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142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</row>
    <row r="353">
      <c r="A353" s="141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142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</row>
    <row r="354">
      <c r="A354" s="141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142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</row>
    <row r="355">
      <c r="A355" s="141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142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</row>
    <row r="356">
      <c r="A356" s="141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142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</row>
    <row r="357">
      <c r="A357" s="141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142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</row>
    <row r="358">
      <c r="A358" s="141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142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</row>
    <row r="359">
      <c r="A359" s="141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142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</row>
    <row r="360">
      <c r="A360" s="141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142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</row>
    <row r="361">
      <c r="A361" s="141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142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</row>
    <row r="362">
      <c r="A362" s="141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142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</row>
    <row r="363">
      <c r="A363" s="141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142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</row>
    <row r="364">
      <c r="A364" s="141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142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</row>
    <row r="365">
      <c r="A365" s="141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142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</row>
    <row r="366">
      <c r="A366" s="141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142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</row>
    <row r="367">
      <c r="A367" s="141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142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</row>
    <row r="368">
      <c r="A368" s="141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142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</row>
    <row r="369">
      <c r="A369" s="141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142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</row>
    <row r="370">
      <c r="A370" s="141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142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</row>
    <row r="371">
      <c r="A371" s="141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142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</row>
    <row r="372">
      <c r="A372" s="141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142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</row>
    <row r="373">
      <c r="A373" s="141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142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</row>
    <row r="374">
      <c r="A374" s="141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142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</row>
    <row r="375">
      <c r="A375" s="141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142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</row>
    <row r="376">
      <c r="A376" s="141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142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</row>
    <row r="377">
      <c r="A377" s="141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142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</row>
    <row r="378">
      <c r="A378" s="141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142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</row>
    <row r="379">
      <c r="A379" s="141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142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</row>
    <row r="380">
      <c r="A380" s="141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142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</row>
    <row r="381">
      <c r="A381" s="141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142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</row>
    <row r="382">
      <c r="A382" s="141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142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</row>
    <row r="383">
      <c r="A383" s="141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142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</row>
    <row r="384">
      <c r="A384" s="141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142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</row>
    <row r="385">
      <c r="A385" s="141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142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</row>
    <row r="386">
      <c r="A386" s="141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142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</row>
    <row r="387">
      <c r="A387" s="141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142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</row>
    <row r="388">
      <c r="A388" s="141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142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</row>
    <row r="389">
      <c r="A389" s="141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142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</row>
    <row r="390">
      <c r="A390" s="141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142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</row>
    <row r="391">
      <c r="A391" s="141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142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</row>
    <row r="392">
      <c r="A392" s="141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142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</row>
    <row r="393">
      <c r="A393" s="141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142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</row>
    <row r="394">
      <c r="A394" s="141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142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</row>
    <row r="395">
      <c r="A395" s="141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142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</row>
    <row r="396">
      <c r="A396" s="141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142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</row>
    <row r="397">
      <c r="A397" s="141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142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</row>
    <row r="398">
      <c r="A398" s="141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142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</row>
    <row r="399">
      <c r="A399" s="141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142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</row>
    <row r="400">
      <c r="A400" s="141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142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</row>
    <row r="401">
      <c r="A401" s="141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142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</row>
    <row r="402">
      <c r="A402" s="141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142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</row>
    <row r="403">
      <c r="A403" s="141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142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</row>
    <row r="404">
      <c r="A404" s="141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142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</row>
    <row r="405">
      <c r="A405" s="141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142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</row>
    <row r="406">
      <c r="A406" s="141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142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</row>
    <row r="407">
      <c r="A407" s="141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142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</row>
    <row r="408">
      <c r="A408" s="141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142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</row>
    <row r="409">
      <c r="A409" s="141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142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</row>
    <row r="410">
      <c r="A410" s="141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142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</row>
    <row r="411">
      <c r="A411" s="141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142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</row>
    <row r="412">
      <c r="A412" s="141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142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</row>
    <row r="413">
      <c r="A413" s="141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142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</row>
    <row r="414">
      <c r="A414" s="141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142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</row>
    <row r="415">
      <c r="A415" s="141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142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</row>
    <row r="416">
      <c r="A416" s="141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142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</row>
    <row r="417">
      <c r="A417" s="141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142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</row>
    <row r="418">
      <c r="A418" s="141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142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</row>
    <row r="419">
      <c r="A419" s="141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142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</row>
    <row r="420">
      <c r="A420" s="141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142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</row>
    <row r="421">
      <c r="A421" s="141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142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</row>
    <row r="422">
      <c r="A422" s="141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142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</row>
    <row r="423">
      <c r="A423" s="141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142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</row>
    <row r="424">
      <c r="A424" s="141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142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</row>
    <row r="425">
      <c r="A425" s="141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142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</row>
    <row r="426">
      <c r="A426" s="141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142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</row>
    <row r="427">
      <c r="A427" s="141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142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</row>
    <row r="428">
      <c r="A428" s="141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142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</row>
    <row r="429">
      <c r="A429" s="141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142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</row>
    <row r="430">
      <c r="A430" s="141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142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</row>
    <row r="431">
      <c r="A431" s="141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142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</row>
    <row r="432">
      <c r="A432" s="141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142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</row>
    <row r="433">
      <c r="A433" s="141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142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</row>
    <row r="434">
      <c r="A434" s="141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142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</row>
    <row r="435">
      <c r="A435" s="141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142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</row>
    <row r="436">
      <c r="A436" s="141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142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</row>
    <row r="437">
      <c r="A437" s="141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142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</row>
    <row r="438">
      <c r="A438" s="141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142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</row>
    <row r="439">
      <c r="A439" s="141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142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</row>
    <row r="440">
      <c r="A440" s="141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142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</row>
    <row r="441">
      <c r="A441" s="141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142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</row>
    <row r="442">
      <c r="A442" s="141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142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</row>
    <row r="443">
      <c r="A443" s="141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142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</row>
    <row r="444">
      <c r="A444" s="141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142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</row>
    <row r="445">
      <c r="A445" s="141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142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</row>
    <row r="446">
      <c r="A446" s="141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142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</row>
    <row r="447">
      <c r="A447" s="141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142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</row>
    <row r="448">
      <c r="A448" s="141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142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</row>
    <row r="449">
      <c r="A449" s="141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142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</row>
    <row r="450">
      <c r="A450" s="141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142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</row>
    <row r="451">
      <c r="A451" s="141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142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</row>
    <row r="452">
      <c r="A452" s="141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142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</row>
    <row r="453">
      <c r="A453" s="141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142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</row>
    <row r="454">
      <c r="A454" s="141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142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</row>
    <row r="455">
      <c r="A455" s="141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142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</row>
    <row r="456">
      <c r="A456" s="141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142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</row>
    <row r="457">
      <c r="A457" s="141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142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</row>
    <row r="458">
      <c r="A458" s="141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142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</row>
    <row r="459">
      <c r="A459" s="141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142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</row>
    <row r="460">
      <c r="A460" s="141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142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</row>
    <row r="461">
      <c r="A461" s="141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142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</row>
    <row r="462">
      <c r="A462" s="141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142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</row>
    <row r="463">
      <c r="A463" s="141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142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</row>
    <row r="464">
      <c r="A464" s="141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142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</row>
    <row r="465">
      <c r="A465" s="141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142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</row>
    <row r="466">
      <c r="A466" s="141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142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</row>
    <row r="467">
      <c r="A467" s="141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142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</row>
    <row r="468">
      <c r="A468" s="141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142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</row>
    <row r="469">
      <c r="A469" s="141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142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</row>
    <row r="470">
      <c r="A470" s="141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142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</row>
    <row r="471">
      <c r="A471" s="141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142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</row>
    <row r="472">
      <c r="A472" s="141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142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</row>
    <row r="473">
      <c r="A473" s="141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142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</row>
    <row r="474">
      <c r="A474" s="141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142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</row>
    <row r="475">
      <c r="A475" s="141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142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</row>
    <row r="476">
      <c r="A476" s="141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142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</row>
    <row r="477">
      <c r="A477" s="141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142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</row>
    <row r="478">
      <c r="A478" s="141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142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</row>
    <row r="479">
      <c r="A479" s="141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142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</row>
    <row r="480">
      <c r="A480" s="141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142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</row>
    <row r="481">
      <c r="A481" s="141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142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</row>
    <row r="482">
      <c r="A482" s="141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142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</row>
    <row r="483">
      <c r="A483" s="141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142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</row>
    <row r="484">
      <c r="A484" s="141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142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</row>
    <row r="485">
      <c r="A485" s="141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142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</row>
    <row r="486">
      <c r="A486" s="141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142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</row>
    <row r="487">
      <c r="A487" s="141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142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</row>
    <row r="488">
      <c r="A488" s="141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142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</row>
    <row r="489">
      <c r="A489" s="141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142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</row>
    <row r="490">
      <c r="A490" s="141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142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</row>
    <row r="491">
      <c r="A491" s="141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142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</row>
    <row r="492">
      <c r="A492" s="141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142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</row>
    <row r="493">
      <c r="A493" s="141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142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</row>
    <row r="494">
      <c r="A494" s="141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142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</row>
    <row r="495">
      <c r="A495" s="141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142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</row>
    <row r="496">
      <c r="A496" s="141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142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</row>
    <row r="497">
      <c r="A497" s="141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142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</row>
    <row r="498">
      <c r="A498" s="141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142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</row>
    <row r="499">
      <c r="A499" s="141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142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</row>
    <row r="500">
      <c r="A500" s="141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142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</row>
    <row r="501">
      <c r="A501" s="141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142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</row>
    <row r="502">
      <c r="A502" s="141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142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</row>
    <row r="503">
      <c r="A503" s="141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142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</row>
    <row r="504">
      <c r="A504" s="141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142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</row>
    <row r="505">
      <c r="A505" s="141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142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</row>
    <row r="506">
      <c r="A506" s="141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142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</row>
    <row r="507">
      <c r="A507" s="141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142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</row>
    <row r="508">
      <c r="A508" s="141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142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</row>
    <row r="509">
      <c r="A509" s="141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142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</row>
    <row r="510">
      <c r="A510" s="141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142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</row>
    <row r="511">
      <c r="A511" s="141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142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</row>
    <row r="512">
      <c r="A512" s="141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142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</row>
    <row r="513">
      <c r="A513" s="141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142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</row>
    <row r="514">
      <c r="A514" s="141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142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</row>
    <row r="515">
      <c r="A515" s="141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142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</row>
    <row r="516">
      <c r="A516" s="141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142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</row>
    <row r="517">
      <c r="A517" s="141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142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</row>
    <row r="518">
      <c r="A518" s="141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142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</row>
    <row r="519">
      <c r="A519" s="141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142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</row>
    <row r="520">
      <c r="A520" s="141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142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</row>
    <row r="521">
      <c r="A521" s="141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142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</row>
    <row r="522">
      <c r="A522" s="141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142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</row>
    <row r="523">
      <c r="A523" s="141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142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</row>
    <row r="524">
      <c r="A524" s="141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142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</row>
    <row r="525">
      <c r="A525" s="141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142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</row>
    <row r="526">
      <c r="A526" s="141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142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</row>
    <row r="527">
      <c r="A527" s="141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142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</row>
    <row r="528">
      <c r="A528" s="141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142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</row>
    <row r="529">
      <c r="A529" s="141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142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</row>
    <row r="530">
      <c r="A530" s="141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142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</row>
    <row r="531">
      <c r="A531" s="141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142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</row>
    <row r="532">
      <c r="A532" s="141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142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</row>
    <row r="533">
      <c r="A533" s="141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142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</row>
    <row r="534">
      <c r="A534" s="141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142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</row>
    <row r="535">
      <c r="A535" s="141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142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</row>
    <row r="536">
      <c r="A536" s="141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142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</row>
    <row r="537">
      <c r="A537" s="141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142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</row>
    <row r="538">
      <c r="A538" s="141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142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</row>
    <row r="539">
      <c r="A539" s="141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142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</row>
    <row r="540">
      <c r="A540" s="141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142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</row>
    <row r="541">
      <c r="A541" s="141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142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</row>
    <row r="542">
      <c r="A542" s="141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142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</row>
    <row r="543">
      <c r="A543" s="141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142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</row>
    <row r="544">
      <c r="A544" s="141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142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</row>
    <row r="545">
      <c r="A545" s="141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142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</row>
    <row r="546">
      <c r="A546" s="141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142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</row>
    <row r="547">
      <c r="A547" s="141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142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</row>
    <row r="548">
      <c r="A548" s="141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142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</row>
    <row r="549">
      <c r="A549" s="141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142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</row>
    <row r="550">
      <c r="A550" s="141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142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</row>
    <row r="551">
      <c r="A551" s="141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142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</row>
    <row r="552">
      <c r="A552" s="141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142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</row>
    <row r="553">
      <c r="A553" s="141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142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</row>
    <row r="554">
      <c r="A554" s="141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142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</row>
    <row r="555">
      <c r="A555" s="141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142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</row>
    <row r="556">
      <c r="A556" s="141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142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</row>
    <row r="557">
      <c r="A557" s="141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142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</row>
    <row r="558">
      <c r="A558" s="141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142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</row>
    <row r="559">
      <c r="A559" s="141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142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</row>
    <row r="560">
      <c r="A560" s="141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142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</row>
    <row r="561">
      <c r="A561" s="141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142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</row>
    <row r="562">
      <c r="A562" s="141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142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</row>
    <row r="563">
      <c r="A563" s="141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142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</row>
    <row r="564">
      <c r="A564" s="141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142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</row>
    <row r="565">
      <c r="A565" s="141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142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</row>
    <row r="566">
      <c r="A566" s="141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142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</row>
    <row r="567">
      <c r="A567" s="141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142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</row>
    <row r="568">
      <c r="A568" s="141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142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</row>
    <row r="569">
      <c r="A569" s="141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142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</row>
    <row r="570">
      <c r="A570" s="141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142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</row>
    <row r="571">
      <c r="A571" s="141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142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</row>
    <row r="572">
      <c r="A572" s="141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142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</row>
    <row r="573">
      <c r="A573" s="141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142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</row>
    <row r="574">
      <c r="A574" s="141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142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</row>
    <row r="575">
      <c r="A575" s="141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142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</row>
    <row r="576">
      <c r="A576" s="141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142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</row>
    <row r="577">
      <c r="A577" s="141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142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</row>
    <row r="578">
      <c r="A578" s="141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142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</row>
    <row r="579">
      <c r="A579" s="141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142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</row>
    <row r="580">
      <c r="A580" s="141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142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</row>
    <row r="581">
      <c r="A581" s="141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142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</row>
    <row r="582">
      <c r="A582" s="141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142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</row>
    <row r="583">
      <c r="A583" s="141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142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</row>
    <row r="584">
      <c r="A584" s="141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142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</row>
    <row r="585">
      <c r="A585" s="141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142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</row>
    <row r="586">
      <c r="A586" s="141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142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</row>
    <row r="587">
      <c r="A587" s="141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142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</row>
    <row r="588">
      <c r="A588" s="141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142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</row>
    <row r="589">
      <c r="A589" s="141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142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</row>
    <row r="590">
      <c r="A590" s="141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142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</row>
    <row r="591">
      <c r="A591" s="141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142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</row>
    <row r="592">
      <c r="A592" s="141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142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</row>
    <row r="593">
      <c r="A593" s="141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142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</row>
    <row r="594">
      <c r="A594" s="141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142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</row>
    <row r="595">
      <c r="A595" s="141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142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</row>
    <row r="596">
      <c r="A596" s="141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142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</row>
    <row r="597">
      <c r="A597" s="141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142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</row>
    <row r="598">
      <c r="A598" s="141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142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</row>
    <row r="599">
      <c r="A599" s="141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142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</row>
    <row r="600">
      <c r="A600" s="141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142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</row>
    <row r="601">
      <c r="A601" s="141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142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</row>
    <row r="602">
      <c r="A602" s="141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142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</row>
    <row r="603">
      <c r="A603" s="141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142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</row>
    <row r="604">
      <c r="A604" s="141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142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</row>
    <row r="605">
      <c r="A605" s="141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142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</row>
    <row r="606">
      <c r="A606" s="141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142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</row>
    <row r="607">
      <c r="A607" s="141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142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</row>
    <row r="608">
      <c r="A608" s="141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142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</row>
    <row r="609">
      <c r="A609" s="141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142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</row>
    <row r="610">
      <c r="A610" s="141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142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</row>
    <row r="611">
      <c r="A611" s="141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142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</row>
    <row r="612">
      <c r="A612" s="141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142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</row>
    <row r="613">
      <c r="A613" s="141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142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</row>
    <row r="614">
      <c r="A614" s="141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142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</row>
    <row r="615">
      <c r="A615" s="141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142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</row>
    <row r="616">
      <c r="A616" s="141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142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</row>
    <row r="617">
      <c r="A617" s="141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142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</row>
    <row r="618">
      <c r="A618" s="141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142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</row>
    <row r="619">
      <c r="A619" s="141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142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</row>
    <row r="620">
      <c r="A620" s="141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142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</row>
    <row r="621">
      <c r="A621" s="141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142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</row>
    <row r="622">
      <c r="A622" s="141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142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</row>
    <row r="623">
      <c r="A623" s="141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142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</row>
    <row r="624">
      <c r="A624" s="141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142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</row>
    <row r="625">
      <c r="A625" s="141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142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</row>
    <row r="626">
      <c r="A626" s="141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142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</row>
    <row r="627">
      <c r="A627" s="141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142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</row>
    <row r="628">
      <c r="A628" s="141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142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</row>
    <row r="629">
      <c r="A629" s="141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142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</row>
    <row r="630">
      <c r="A630" s="141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142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</row>
    <row r="631">
      <c r="A631" s="141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142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</row>
    <row r="632">
      <c r="A632" s="141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142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</row>
    <row r="633">
      <c r="A633" s="141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142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</row>
    <row r="634">
      <c r="A634" s="141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142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</row>
    <row r="635">
      <c r="A635" s="141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142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</row>
    <row r="636">
      <c r="A636" s="141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142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</row>
    <row r="637">
      <c r="A637" s="141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142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</row>
    <row r="638">
      <c r="A638" s="141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142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</row>
    <row r="639">
      <c r="A639" s="141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142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</row>
    <row r="640">
      <c r="A640" s="141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142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</row>
    <row r="641">
      <c r="A641" s="141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142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</row>
    <row r="642">
      <c r="A642" s="141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142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</row>
    <row r="643">
      <c r="A643" s="141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142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</row>
    <row r="644">
      <c r="A644" s="141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142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</row>
    <row r="645">
      <c r="A645" s="141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142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</row>
    <row r="646">
      <c r="A646" s="141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142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</row>
    <row r="647">
      <c r="A647" s="141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142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</row>
    <row r="648">
      <c r="A648" s="141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142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</row>
    <row r="649">
      <c r="A649" s="141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142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</row>
    <row r="650">
      <c r="A650" s="141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142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</row>
    <row r="651">
      <c r="A651" s="141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142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</row>
    <row r="652">
      <c r="A652" s="141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142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</row>
    <row r="653">
      <c r="A653" s="141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142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</row>
    <row r="654">
      <c r="A654" s="141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142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</row>
    <row r="655">
      <c r="A655" s="141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142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</row>
    <row r="656">
      <c r="A656" s="141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142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</row>
    <row r="657">
      <c r="A657" s="141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142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</row>
    <row r="658">
      <c r="A658" s="141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142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</row>
    <row r="659">
      <c r="A659" s="141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142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</row>
    <row r="660">
      <c r="A660" s="141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142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</row>
    <row r="661">
      <c r="A661" s="141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142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</row>
    <row r="662">
      <c r="A662" s="141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142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</row>
    <row r="663">
      <c r="A663" s="141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142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</row>
    <row r="664">
      <c r="A664" s="141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142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</row>
    <row r="665">
      <c r="A665" s="141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142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</row>
    <row r="666">
      <c r="A666" s="141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142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</row>
    <row r="667">
      <c r="A667" s="141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142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</row>
    <row r="668">
      <c r="A668" s="141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142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</row>
    <row r="669">
      <c r="A669" s="141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142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</row>
    <row r="670">
      <c r="A670" s="141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142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</row>
    <row r="671">
      <c r="A671" s="141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142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</row>
    <row r="672">
      <c r="A672" s="141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142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</row>
    <row r="673">
      <c r="A673" s="141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142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</row>
    <row r="674">
      <c r="A674" s="141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142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</row>
    <row r="675">
      <c r="A675" s="141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142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</row>
    <row r="676">
      <c r="A676" s="141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142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</row>
    <row r="677">
      <c r="A677" s="141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142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</row>
    <row r="678">
      <c r="A678" s="141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142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</row>
    <row r="679">
      <c r="A679" s="141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142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</row>
    <row r="680">
      <c r="A680" s="141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142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</row>
    <row r="681">
      <c r="A681" s="141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142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</row>
    <row r="682">
      <c r="A682" s="141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142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</row>
    <row r="683">
      <c r="A683" s="141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142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</row>
    <row r="684">
      <c r="A684" s="141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142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</row>
    <row r="685">
      <c r="A685" s="141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142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</row>
    <row r="686">
      <c r="A686" s="141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142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</row>
    <row r="687">
      <c r="A687" s="141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142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</row>
    <row r="688">
      <c r="A688" s="141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142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</row>
    <row r="689">
      <c r="A689" s="141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142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</row>
    <row r="690">
      <c r="A690" s="141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142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</row>
    <row r="691">
      <c r="A691" s="141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142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</row>
    <row r="692">
      <c r="A692" s="141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142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</row>
    <row r="693">
      <c r="A693" s="141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142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</row>
    <row r="694">
      <c r="A694" s="141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142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</row>
    <row r="695">
      <c r="A695" s="141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142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</row>
    <row r="696">
      <c r="A696" s="141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142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</row>
    <row r="697">
      <c r="A697" s="141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142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</row>
    <row r="698">
      <c r="A698" s="141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142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</row>
    <row r="699">
      <c r="A699" s="141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142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</row>
    <row r="700">
      <c r="A700" s="141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142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</row>
    <row r="701">
      <c r="A701" s="141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142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</row>
    <row r="702">
      <c r="A702" s="141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142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</row>
    <row r="703">
      <c r="A703" s="141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142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</row>
    <row r="704">
      <c r="A704" s="141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142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</row>
    <row r="705">
      <c r="A705" s="141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142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</row>
    <row r="706">
      <c r="A706" s="141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142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</row>
    <row r="707">
      <c r="A707" s="141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142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</row>
    <row r="708">
      <c r="A708" s="141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142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</row>
    <row r="709">
      <c r="A709" s="141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142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</row>
    <row r="710">
      <c r="A710" s="141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142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</row>
    <row r="711">
      <c r="A711" s="141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142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</row>
    <row r="712">
      <c r="A712" s="141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142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</row>
    <row r="713">
      <c r="A713" s="141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142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</row>
    <row r="714">
      <c r="A714" s="141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142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</row>
    <row r="715">
      <c r="A715" s="141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142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</row>
    <row r="716">
      <c r="A716" s="141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142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</row>
    <row r="717">
      <c r="A717" s="141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142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</row>
    <row r="718">
      <c r="A718" s="141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142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</row>
    <row r="719">
      <c r="A719" s="141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142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</row>
    <row r="720">
      <c r="A720" s="141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142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</row>
    <row r="721">
      <c r="A721" s="141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142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</row>
    <row r="722">
      <c r="A722" s="141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142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</row>
    <row r="723">
      <c r="A723" s="141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142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</row>
    <row r="724">
      <c r="A724" s="141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142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</row>
    <row r="725">
      <c r="A725" s="141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142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</row>
    <row r="726">
      <c r="A726" s="141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142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</row>
    <row r="727">
      <c r="A727" s="141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142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</row>
    <row r="728">
      <c r="A728" s="141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142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</row>
    <row r="729">
      <c r="A729" s="141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142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</row>
    <row r="730">
      <c r="A730" s="141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142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</row>
    <row r="731">
      <c r="A731" s="141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142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</row>
    <row r="732">
      <c r="A732" s="141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142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</row>
    <row r="733">
      <c r="A733" s="141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142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</row>
    <row r="734">
      <c r="A734" s="141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142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</row>
    <row r="735">
      <c r="A735" s="141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142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</row>
    <row r="736">
      <c r="A736" s="141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142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</row>
    <row r="737">
      <c r="A737" s="141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142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</row>
    <row r="738">
      <c r="A738" s="141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142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</row>
    <row r="739">
      <c r="A739" s="141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142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</row>
    <row r="740">
      <c r="A740" s="141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142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</row>
    <row r="741">
      <c r="A741" s="141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142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</row>
    <row r="742">
      <c r="A742" s="141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142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</row>
    <row r="743">
      <c r="A743" s="141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142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</row>
    <row r="744">
      <c r="A744" s="141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142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</row>
    <row r="745">
      <c r="A745" s="141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142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</row>
    <row r="746">
      <c r="A746" s="141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142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</row>
    <row r="747">
      <c r="A747" s="141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142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</row>
    <row r="748">
      <c r="A748" s="141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142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</row>
    <row r="749">
      <c r="A749" s="141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142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</row>
    <row r="750">
      <c r="A750" s="141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142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</row>
    <row r="751">
      <c r="A751" s="141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142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</row>
    <row r="752">
      <c r="A752" s="141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142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</row>
    <row r="753">
      <c r="A753" s="141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142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</row>
    <row r="754">
      <c r="A754" s="141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142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</row>
    <row r="755">
      <c r="A755" s="141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142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</row>
    <row r="756">
      <c r="A756" s="141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142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</row>
    <row r="757">
      <c r="A757" s="141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142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</row>
    <row r="758">
      <c r="A758" s="141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142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</row>
    <row r="759">
      <c r="A759" s="141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142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</row>
    <row r="760">
      <c r="A760" s="141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142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</row>
    <row r="761">
      <c r="A761" s="141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142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</row>
    <row r="762">
      <c r="A762" s="141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142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</row>
    <row r="763">
      <c r="A763" s="141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142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</row>
    <row r="764">
      <c r="A764" s="141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142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</row>
    <row r="765">
      <c r="A765" s="141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142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</row>
    <row r="766">
      <c r="A766" s="141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142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</row>
    <row r="767">
      <c r="A767" s="141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142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</row>
    <row r="768">
      <c r="A768" s="141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142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</row>
    <row r="769">
      <c r="A769" s="141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142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</row>
    <row r="770">
      <c r="A770" s="141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142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</row>
    <row r="771">
      <c r="A771" s="141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142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</row>
    <row r="772">
      <c r="A772" s="141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142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</row>
    <row r="773">
      <c r="A773" s="141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142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</row>
    <row r="774">
      <c r="A774" s="141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142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</row>
    <row r="775">
      <c r="A775" s="141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142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</row>
    <row r="776">
      <c r="A776" s="141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142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</row>
    <row r="777">
      <c r="A777" s="141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142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</row>
    <row r="778">
      <c r="A778" s="141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142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</row>
    <row r="779">
      <c r="A779" s="141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142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</row>
    <row r="780">
      <c r="A780" s="141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142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</row>
    <row r="781">
      <c r="A781" s="141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142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</row>
    <row r="782">
      <c r="A782" s="141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142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</row>
    <row r="783">
      <c r="A783" s="141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142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</row>
    <row r="784">
      <c r="A784" s="141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142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</row>
    <row r="785">
      <c r="A785" s="141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142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</row>
    <row r="786">
      <c r="A786" s="141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142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</row>
    <row r="787">
      <c r="A787" s="141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142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</row>
    <row r="788">
      <c r="A788" s="141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142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</row>
    <row r="789">
      <c r="A789" s="141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142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</row>
    <row r="790">
      <c r="A790" s="141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142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</row>
    <row r="791">
      <c r="A791" s="141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142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</row>
    <row r="792">
      <c r="A792" s="141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142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</row>
    <row r="793">
      <c r="A793" s="141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142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</row>
    <row r="794">
      <c r="A794" s="141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142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</row>
    <row r="795">
      <c r="A795" s="141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142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</row>
    <row r="796">
      <c r="A796" s="141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142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</row>
    <row r="797">
      <c r="A797" s="141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142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</row>
    <row r="798">
      <c r="A798" s="141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142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</row>
    <row r="799">
      <c r="A799" s="141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142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</row>
    <row r="800">
      <c r="A800" s="141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142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</row>
    <row r="801">
      <c r="A801" s="141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142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</row>
    <row r="802">
      <c r="A802" s="141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142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</row>
    <row r="803">
      <c r="A803" s="141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142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</row>
    <row r="804">
      <c r="A804" s="141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142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</row>
    <row r="805">
      <c r="A805" s="141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142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</row>
    <row r="806">
      <c r="A806" s="141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142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</row>
    <row r="807">
      <c r="A807" s="141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142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</row>
    <row r="808">
      <c r="A808" s="141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142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</row>
    <row r="809">
      <c r="A809" s="141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142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</row>
    <row r="810">
      <c r="A810" s="141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142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</row>
    <row r="811">
      <c r="A811" s="141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142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</row>
    <row r="812">
      <c r="A812" s="141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142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</row>
    <row r="813">
      <c r="A813" s="141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142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</row>
    <row r="814">
      <c r="A814" s="141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142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</row>
    <row r="815">
      <c r="A815" s="141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142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</row>
    <row r="816">
      <c r="A816" s="141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142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</row>
    <row r="817">
      <c r="A817" s="141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142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</row>
    <row r="818">
      <c r="A818" s="141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142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</row>
    <row r="819">
      <c r="A819" s="141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142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</row>
    <row r="820">
      <c r="A820" s="141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142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</row>
    <row r="821">
      <c r="A821" s="141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142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</row>
    <row r="822">
      <c r="A822" s="141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142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</row>
    <row r="823">
      <c r="A823" s="141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142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</row>
    <row r="824">
      <c r="A824" s="141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142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</row>
    <row r="825">
      <c r="A825" s="141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142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</row>
    <row r="826">
      <c r="A826" s="141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142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</row>
    <row r="827">
      <c r="A827" s="141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142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</row>
    <row r="828">
      <c r="A828" s="141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142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</row>
    <row r="829">
      <c r="A829" s="141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142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</row>
    <row r="830">
      <c r="A830" s="141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142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</row>
    <row r="831">
      <c r="A831" s="141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142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</row>
    <row r="832">
      <c r="A832" s="141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142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</row>
    <row r="833">
      <c r="A833" s="141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142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</row>
    <row r="834">
      <c r="A834" s="141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142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</row>
    <row r="835">
      <c r="A835" s="141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142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</row>
    <row r="836">
      <c r="A836" s="141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142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</row>
    <row r="837">
      <c r="A837" s="141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142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</row>
    <row r="838">
      <c r="A838" s="141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142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</row>
    <row r="839">
      <c r="A839" s="141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142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</row>
    <row r="840">
      <c r="A840" s="141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142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</row>
    <row r="841">
      <c r="A841" s="141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142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</row>
    <row r="842">
      <c r="A842" s="141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142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</row>
    <row r="843">
      <c r="A843" s="141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142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</row>
    <row r="844">
      <c r="A844" s="141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142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</row>
    <row r="845">
      <c r="A845" s="141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142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</row>
    <row r="846">
      <c r="A846" s="141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142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</row>
    <row r="847">
      <c r="A847" s="141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142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</row>
    <row r="848">
      <c r="A848" s="141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142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</row>
    <row r="849">
      <c r="A849" s="141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142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</row>
    <row r="850">
      <c r="A850" s="141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142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</row>
    <row r="851">
      <c r="A851" s="141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142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</row>
    <row r="852">
      <c r="A852" s="141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142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</row>
    <row r="853">
      <c r="A853" s="141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142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</row>
    <row r="854">
      <c r="A854" s="141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142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</row>
    <row r="855">
      <c r="A855" s="141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142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</row>
    <row r="856">
      <c r="A856" s="141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142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</row>
    <row r="857">
      <c r="A857" s="141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142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</row>
    <row r="858">
      <c r="A858" s="141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142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</row>
    <row r="859">
      <c r="A859" s="141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142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</row>
    <row r="860">
      <c r="A860" s="141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142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</row>
    <row r="861">
      <c r="A861" s="141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142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</row>
    <row r="862">
      <c r="A862" s="141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142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</row>
    <row r="863">
      <c r="A863" s="141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142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</row>
    <row r="864">
      <c r="A864" s="141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142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</row>
    <row r="865">
      <c r="A865" s="141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142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</row>
    <row r="866">
      <c r="A866" s="141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142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</row>
    <row r="867">
      <c r="A867" s="141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142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</row>
    <row r="868">
      <c r="A868" s="141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142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</row>
    <row r="869">
      <c r="A869" s="141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142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</row>
    <row r="870">
      <c r="A870" s="141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142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</row>
    <row r="871">
      <c r="A871" s="141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142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</row>
    <row r="872">
      <c r="A872" s="141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142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</row>
    <row r="873">
      <c r="A873" s="141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142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</row>
    <row r="874">
      <c r="A874" s="141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142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</row>
    <row r="875">
      <c r="A875" s="141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142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</row>
    <row r="876">
      <c r="A876" s="141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142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</row>
    <row r="877">
      <c r="A877" s="141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142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</row>
    <row r="878">
      <c r="A878" s="141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142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</row>
    <row r="879">
      <c r="A879" s="141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142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</row>
    <row r="880">
      <c r="A880" s="141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142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</row>
    <row r="881">
      <c r="A881" s="141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142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</row>
    <row r="882">
      <c r="A882" s="141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142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</row>
    <row r="883">
      <c r="A883" s="141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142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</row>
    <row r="884">
      <c r="A884" s="141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142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</row>
    <row r="885">
      <c r="A885" s="141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142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</row>
    <row r="886">
      <c r="A886" s="141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142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</row>
    <row r="887">
      <c r="A887" s="141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142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</row>
    <row r="888">
      <c r="A888" s="141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142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</row>
    <row r="889">
      <c r="A889" s="141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142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</row>
    <row r="890">
      <c r="A890" s="141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142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</row>
    <row r="891">
      <c r="A891" s="141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142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</row>
    <row r="892">
      <c r="A892" s="141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142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</row>
    <row r="893">
      <c r="A893" s="141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142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</row>
    <row r="894">
      <c r="A894" s="141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142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</row>
    <row r="895">
      <c r="A895" s="141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142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</row>
    <row r="896">
      <c r="A896" s="141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142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</row>
    <row r="897">
      <c r="A897" s="141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142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</row>
    <row r="898">
      <c r="A898" s="141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142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</row>
    <row r="899">
      <c r="A899" s="141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142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</row>
    <row r="900">
      <c r="A900" s="141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142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</row>
    <row r="901">
      <c r="A901" s="141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142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</row>
    <row r="902">
      <c r="A902" s="141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142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</row>
    <row r="903">
      <c r="A903" s="141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142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</row>
    <row r="904">
      <c r="A904" s="141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142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</row>
    <row r="905">
      <c r="A905" s="141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142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</row>
    <row r="906">
      <c r="A906" s="141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142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</row>
    <row r="907">
      <c r="A907" s="141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142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</row>
    <row r="908">
      <c r="A908" s="141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142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</row>
    <row r="909">
      <c r="A909" s="141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142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</row>
    <row r="910">
      <c r="A910" s="141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142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</row>
    <row r="911">
      <c r="A911" s="141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142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</row>
    <row r="912">
      <c r="A912" s="141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142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</row>
    <row r="913">
      <c r="A913" s="141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142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</row>
    <row r="914">
      <c r="A914" s="141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142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</row>
    <row r="915">
      <c r="A915" s="141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142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</row>
    <row r="916">
      <c r="A916" s="141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142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</row>
    <row r="917">
      <c r="A917" s="141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142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</row>
    <row r="918">
      <c r="A918" s="141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142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</row>
    <row r="919">
      <c r="A919" s="141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142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</row>
    <row r="920">
      <c r="A920" s="141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142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</row>
    <row r="921">
      <c r="A921" s="141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142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</row>
    <row r="922">
      <c r="A922" s="141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142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</row>
    <row r="923">
      <c r="A923" s="141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142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</row>
    <row r="924">
      <c r="A924" s="141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142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</row>
    <row r="925">
      <c r="A925" s="141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142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</row>
    <row r="926">
      <c r="A926" s="141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142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</row>
    <row r="927">
      <c r="A927" s="141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142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</row>
    <row r="928">
      <c r="A928" s="141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142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</row>
    <row r="929">
      <c r="A929" s="141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142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</row>
    <row r="930">
      <c r="A930" s="141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142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</row>
    <row r="931">
      <c r="A931" s="141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142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</row>
    <row r="932">
      <c r="A932" s="141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142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</row>
    <row r="933">
      <c r="A933" s="141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142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</row>
    <row r="934">
      <c r="A934" s="141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142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</row>
    <row r="935">
      <c r="A935" s="141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142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</row>
    <row r="936">
      <c r="A936" s="141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142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</row>
    <row r="937">
      <c r="A937" s="141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142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</row>
    <row r="938">
      <c r="A938" s="141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142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</row>
    <row r="939">
      <c r="A939" s="141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142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</row>
    <row r="940">
      <c r="A940" s="141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142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</row>
    <row r="941">
      <c r="A941" s="141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142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</row>
    <row r="942">
      <c r="A942" s="141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142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</row>
    <row r="943">
      <c r="A943" s="141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142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</row>
    <row r="944">
      <c r="A944" s="141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142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</row>
    <row r="945">
      <c r="A945" s="141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142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</row>
    <row r="946">
      <c r="A946" s="141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142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</row>
    <row r="947">
      <c r="A947" s="141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142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</row>
    <row r="948">
      <c r="A948" s="141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142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</row>
    <row r="949">
      <c r="A949" s="141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142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</row>
    <row r="950">
      <c r="A950" s="141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142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</row>
    <row r="951">
      <c r="A951" s="141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142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</row>
    <row r="952">
      <c r="A952" s="141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142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</row>
    <row r="953">
      <c r="A953" s="141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142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</row>
    <row r="954">
      <c r="A954" s="141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142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</row>
    <row r="955">
      <c r="A955" s="141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142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</row>
    <row r="956">
      <c r="A956" s="141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142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</row>
    <row r="957">
      <c r="A957" s="141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142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</row>
    <row r="958">
      <c r="A958" s="141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142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</row>
    <row r="959">
      <c r="A959" s="141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142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</row>
    <row r="960">
      <c r="A960" s="141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142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</row>
    <row r="961">
      <c r="A961" s="141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142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</row>
    <row r="962">
      <c r="A962" s="141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142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</row>
    <row r="963">
      <c r="A963" s="141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142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</row>
    <row r="964">
      <c r="A964" s="141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142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</row>
    <row r="965">
      <c r="A965" s="141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142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</row>
    <row r="966">
      <c r="A966" s="141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142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</row>
    <row r="967">
      <c r="A967" s="141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142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</row>
    <row r="968">
      <c r="A968" s="141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142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</row>
    <row r="969">
      <c r="A969" s="141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142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</row>
    <row r="970">
      <c r="A970" s="141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142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</row>
    <row r="971">
      <c r="A971" s="141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142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</row>
    <row r="972">
      <c r="A972" s="141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142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</row>
    <row r="973">
      <c r="A973" s="141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142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</row>
    <row r="974">
      <c r="A974" s="141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142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</row>
    <row r="975">
      <c r="A975" s="141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142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</row>
    <row r="976">
      <c r="A976" s="141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142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</row>
    <row r="977">
      <c r="A977" s="141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142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</row>
    <row r="978">
      <c r="A978" s="141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142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</row>
    <row r="979">
      <c r="A979" s="141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142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</row>
    <row r="980">
      <c r="A980" s="141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142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</row>
    <row r="981">
      <c r="A981" s="141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142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</row>
    <row r="982">
      <c r="A982" s="141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142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</row>
    <row r="983">
      <c r="A983" s="141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142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</row>
    <row r="984">
      <c r="A984" s="141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142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</row>
    <row r="985">
      <c r="A985" s="141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142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</row>
    <row r="986">
      <c r="A986" s="141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142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</row>
    <row r="987">
      <c r="A987" s="141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142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</row>
    <row r="988">
      <c r="A988" s="141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142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</row>
    <row r="989">
      <c r="A989" s="141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142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</row>
    <row r="990">
      <c r="A990" s="141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142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</row>
    <row r="991">
      <c r="A991" s="141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142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</row>
    <row r="992">
      <c r="A992" s="141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142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</row>
    <row r="993">
      <c r="A993" s="141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142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</row>
    <row r="994">
      <c r="A994" s="141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142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</row>
    <row r="995">
      <c r="A995" s="141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142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</row>
    <row r="996">
      <c r="A996" s="141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142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</row>
    <row r="997">
      <c r="A997" s="141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142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</row>
    <row r="998">
      <c r="A998" s="141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142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</row>
    <row r="999">
      <c r="A999" s="141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142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</row>
    <row r="1000">
      <c r="A1000" s="141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142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</row>
    <row r="1001">
      <c r="A1001" s="141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142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6.5"/>
    <col customWidth="1" min="3" max="3" width="17.38"/>
    <col customWidth="1" min="5" max="5" width="27.13"/>
  </cols>
  <sheetData>
    <row r="1" ht="22.5" customHeight="1">
      <c r="A1" s="31" t="s">
        <v>276</v>
      </c>
      <c r="B1" s="143" t="s">
        <v>277</v>
      </c>
      <c r="C1" s="143" t="s">
        <v>278</v>
      </c>
      <c r="D1" s="31" t="s">
        <v>279</v>
      </c>
      <c r="E1" s="31" t="s">
        <v>280</v>
      </c>
    </row>
    <row r="2" ht="22.5" customHeight="1">
      <c r="A2" s="144" t="s">
        <v>281</v>
      </c>
      <c r="B2" s="145" t="s">
        <v>282</v>
      </c>
      <c r="C2" s="145" t="s">
        <v>283</v>
      </c>
      <c r="D2" s="144" t="s">
        <v>104</v>
      </c>
      <c r="E2" s="146" t="s">
        <v>284</v>
      </c>
    </row>
    <row r="3" ht="22.5" customHeight="1">
      <c r="A3" s="144" t="s">
        <v>285</v>
      </c>
      <c r="B3" s="145" t="s">
        <v>286</v>
      </c>
      <c r="C3" s="145" t="s">
        <v>287</v>
      </c>
      <c r="D3" s="144" t="s">
        <v>199</v>
      </c>
      <c r="E3" s="146" t="s">
        <v>288</v>
      </c>
    </row>
    <row r="4" ht="22.5" customHeight="1">
      <c r="A4" s="144" t="s">
        <v>289</v>
      </c>
      <c r="B4" s="145" t="s">
        <v>290</v>
      </c>
      <c r="C4" s="145" t="s">
        <v>291</v>
      </c>
      <c r="D4" s="144" t="s">
        <v>208</v>
      </c>
      <c r="E4" s="146" t="s">
        <v>292</v>
      </c>
    </row>
    <row r="5" ht="22.5" customHeight="1">
      <c r="A5" s="144" t="s">
        <v>293</v>
      </c>
      <c r="B5" s="145" t="s">
        <v>294</v>
      </c>
      <c r="C5" s="145" t="s">
        <v>292</v>
      </c>
      <c r="D5" s="144" t="s">
        <v>101</v>
      </c>
      <c r="E5" s="146" t="s">
        <v>295</v>
      </c>
    </row>
    <row r="6" ht="22.5" customHeight="1">
      <c r="A6" s="145" t="s">
        <v>296</v>
      </c>
      <c r="B6" s="145" t="s">
        <v>297</v>
      </c>
      <c r="C6" s="145" t="s">
        <v>298</v>
      </c>
      <c r="D6" s="147"/>
      <c r="E6" s="146" t="s">
        <v>299</v>
      </c>
    </row>
    <row r="7" ht="22.5" customHeight="1">
      <c r="A7" s="145" t="s">
        <v>300</v>
      </c>
      <c r="B7" s="145" t="s">
        <v>301</v>
      </c>
      <c r="C7" s="145" t="s">
        <v>302</v>
      </c>
      <c r="D7" s="147"/>
      <c r="E7" s="147"/>
    </row>
    <row r="8" ht="22.5" customHeight="1">
      <c r="A8" s="145" t="s">
        <v>303</v>
      </c>
      <c r="B8" s="145" t="s">
        <v>304</v>
      </c>
      <c r="C8" s="145" t="s">
        <v>305</v>
      </c>
      <c r="D8" s="147"/>
      <c r="E8" s="147"/>
    </row>
    <row r="9" ht="22.5" customHeight="1">
      <c r="A9" s="145" t="s">
        <v>306</v>
      </c>
      <c r="B9" s="145" t="s">
        <v>307</v>
      </c>
      <c r="C9" s="145" t="s">
        <v>308</v>
      </c>
      <c r="D9" s="147"/>
      <c r="E9" s="147"/>
    </row>
    <row r="10" ht="22.5" customHeight="1">
      <c r="A10" s="145" t="s">
        <v>309</v>
      </c>
      <c r="B10" s="145" t="s">
        <v>119</v>
      </c>
      <c r="C10" s="145" t="s">
        <v>310</v>
      </c>
      <c r="D10" s="147"/>
      <c r="E10" s="147"/>
    </row>
    <row r="11" ht="22.5" customHeight="1">
      <c r="A11" s="145" t="s">
        <v>191</v>
      </c>
      <c r="B11" s="145" t="s">
        <v>101</v>
      </c>
      <c r="C11" s="145" t="s">
        <v>311</v>
      </c>
      <c r="D11" s="147"/>
      <c r="E11" s="147"/>
    </row>
    <row r="12" ht="22.5" customHeight="1">
      <c r="A12" s="145" t="s">
        <v>312</v>
      </c>
      <c r="B12" s="145"/>
      <c r="C12" s="144" t="s">
        <v>101</v>
      </c>
      <c r="D12" s="147"/>
      <c r="E12" s="147"/>
    </row>
    <row r="13" ht="22.5" customHeight="1">
      <c r="A13" s="145" t="s">
        <v>313</v>
      </c>
      <c r="B13" s="145"/>
      <c r="C13" s="147"/>
      <c r="D13" s="147"/>
      <c r="E13" s="147"/>
    </row>
    <row r="14" ht="22.5" customHeight="1">
      <c r="A14" s="145" t="s">
        <v>314</v>
      </c>
      <c r="B14" s="145"/>
      <c r="C14" s="147"/>
      <c r="D14" s="147"/>
      <c r="E14" s="147"/>
    </row>
    <row r="15" ht="22.5" customHeight="1">
      <c r="A15" s="145" t="s">
        <v>315</v>
      </c>
      <c r="B15" s="145"/>
      <c r="C15" s="147"/>
      <c r="D15" s="147"/>
      <c r="E15" s="147"/>
    </row>
    <row r="16" ht="22.5" customHeight="1">
      <c r="A16" s="144" t="s">
        <v>316</v>
      </c>
      <c r="B16" s="145"/>
      <c r="C16" s="147"/>
      <c r="D16" s="147"/>
      <c r="E16" s="147"/>
    </row>
    <row r="17" ht="22.5" customHeight="1">
      <c r="A17" s="144" t="s">
        <v>101</v>
      </c>
      <c r="B17" s="147"/>
      <c r="C17" s="147"/>
      <c r="D17" s="147"/>
      <c r="E17" s="147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13.13"/>
    <col customWidth="1" min="4" max="4" width="27.75"/>
    <col customWidth="1" min="5" max="5" width="33.88"/>
    <col customWidth="1" min="6" max="6" width="15.5"/>
  </cols>
  <sheetData>
    <row r="1" ht="22.5" customHeight="1">
      <c r="A1" s="49" t="s">
        <v>317</v>
      </c>
      <c r="B1" s="49" t="s">
        <v>91</v>
      </c>
      <c r="C1" s="49" t="s">
        <v>92</v>
      </c>
      <c r="D1" s="49" t="s">
        <v>318</v>
      </c>
      <c r="E1" s="49" t="s">
        <v>319</v>
      </c>
      <c r="F1" s="49" t="s">
        <v>279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22.5" customHeight="1">
      <c r="A2" s="149" t="s">
        <v>320</v>
      </c>
      <c r="B2" s="150">
        <v>45660.0</v>
      </c>
      <c r="C2" s="150">
        <v>45663.0</v>
      </c>
      <c r="D2" s="149">
        <v>30000.0</v>
      </c>
      <c r="E2" s="149">
        <v>2500.0</v>
      </c>
      <c r="F2" s="151" t="s">
        <v>104</v>
      </c>
      <c r="G2" s="152"/>
      <c r="H2" s="152"/>
      <c r="I2" s="152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22.5" customHeight="1">
      <c r="A3" s="153" t="s">
        <v>321</v>
      </c>
      <c r="B3" s="154">
        <v>45662.0</v>
      </c>
      <c r="C3" s="149" t="s">
        <v>101</v>
      </c>
      <c r="D3" s="149" t="s">
        <v>101</v>
      </c>
      <c r="E3" s="149" t="s">
        <v>101</v>
      </c>
      <c r="F3" s="151" t="s">
        <v>101</v>
      </c>
      <c r="G3" s="152"/>
      <c r="H3" s="152"/>
      <c r="I3" s="152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22.5" customHeight="1">
      <c r="A4" s="153" t="s">
        <v>322</v>
      </c>
      <c r="B4" s="154">
        <v>45664.0</v>
      </c>
      <c r="C4" s="149" t="s">
        <v>101</v>
      </c>
      <c r="D4" s="149" t="s">
        <v>101</v>
      </c>
      <c r="E4" s="149" t="s">
        <v>101</v>
      </c>
      <c r="F4" s="151" t="s">
        <v>101</v>
      </c>
      <c r="G4" s="152"/>
      <c r="H4" s="152"/>
      <c r="I4" s="152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22.5" customHeight="1">
      <c r="A5" s="149" t="s">
        <v>323</v>
      </c>
      <c r="B5" s="150">
        <v>45664.0</v>
      </c>
      <c r="C5" s="150">
        <v>46028.0</v>
      </c>
      <c r="D5" s="149" t="s">
        <v>324</v>
      </c>
      <c r="E5" s="149">
        <v>8000.0</v>
      </c>
      <c r="F5" s="151" t="s">
        <v>199</v>
      </c>
      <c r="G5" s="152"/>
      <c r="H5" s="152"/>
      <c r="I5" s="152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22.5" customHeight="1">
      <c r="A6" s="149" t="s">
        <v>325</v>
      </c>
      <c r="B6" s="155">
        <v>45669.0</v>
      </c>
      <c r="C6" s="150">
        <v>46031.0</v>
      </c>
      <c r="D6" s="149" t="s">
        <v>324</v>
      </c>
      <c r="E6" s="149">
        <v>8000.0</v>
      </c>
      <c r="F6" s="151" t="s">
        <v>208</v>
      </c>
      <c r="G6" s="152"/>
      <c r="H6" s="152"/>
      <c r="I6" s="152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22.5" customHeight="1">
      <c r="A7" s="149" t="s">
        <v>326</v>
      </c>
      <c r="B7" s="150">
        <v>45669.0</v>
      </c>
      <c r="C7" s="150">
        <v>46028.0</v>
      </c>
      <c r="D7" s="149">
        <v>50000.0</v>
      </c>
      <c r="E7" s="149">
        <v>10000.0</v>
      </c>
      <c r="F7" s="151" t="s">
        <v>208</v>
      </c>
      <c r="G7" s="152"/>
      <c r="H7" s="152"/>
      <c r="I7" s="152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22.5" customHeight="1">
      <c r="A8" s="156" t="s">
        <v>327</v>
      </c>
      <c r="B8" s="157">
        <v>46028.0</v>
      </c>
      <c r="C8" s="149" t="s">
        <v>328</v>
      </c>
      <c r="D8" s="149">
        <v>100000.0</v>
      </c>
      <c r="E8" s="149">
        <v>10000.0</v>
      </c>
      <c r="F8" s="151" t="s">
        <v>208</v>
      </c>
      <c r="G8" s="152"/>
      <c r="H8" s="152"/>
      <c r="I8" s="152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22.5" customHeight="1">
      <c r="A9" s="158"/>
      <c r="B9" s="159"/>
      <c r="C9" s="159"/>
      <c r="D9" s="158"/>
      <c r="E9" s="158"/>
      <c r="F9" s="160" t="s">
        <v>101</v>
      </c>
      <c r="G9" s="152"/>
      <c r="H9" s="152"/>
      <c r="I9" s="152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ht="22.5" customHeight="1">
      <c r="A10" s="158" t="s">
        <v>329</v>
      </c>
      <c r="B10" s="161"/>
      <c r="C10" s="162"/>
      <c r="D10" s="162"/>
      <c r="E10" s="162"/>
      <c r="F10" s="160" t="s">
        <v>101</v>
      </c>
      <c r="G10" s="152"/>
      <c r="H10" s="152"/>
      <c r="I10" s="152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22.5" customHeight="1">
      <c r="A11" s="158" t="s">
        <v>330</v>
      </c>
      <c r="B11" s="163">
        <v>45834.0</v>
      </c>
      <c r="C11" s="162"/>
      <c r="D11" s="158">
        <v>25000.0</v>
      </c>
      <c r="E11" s="158">
        <v>25000.0</v>
      </c>
      <c r="F11" s="164" t="s">
        <v>199</v>
      </c>
      <c r="G11" s="152"/>
      <c r="H11" s="152"/>
      <c r="I11" s="152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>
      <c r="A12" s="152"/>
      <c r="B12" s="152"/>
      <c r="C12" s="152"/>
      <c r="D12" s="152"/>
      <c r="E12" s="152"/>
      <c r="F12" s="152"/>
      <c r="G12" s="152"/>
      <c r="H12" s="152"/>
      <c r="I12" s="152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>
      <c r="A13" s="152"/>
      <c r="B13" s="152"/>
      <c r="C13" s="152"/>
      <c r="D13" s="152"/>
      <c r="E13" s="152"/>
      <c r="F13" s="152"/>
      <c r="G13" s="152"/>
      <c r="H13" s="152"/>
      <c r="I13" s="152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>
      <c r="A14" s="152"/>
      <c r="B14" s="152"/>
      <c r="C14" s="152"/>
      <c r="D14" s="152"/>
      <c r="E14" s="152"/>
      <c r="F14" s="152"/>
      <c r="G14" s="152"/>
      <c r="H14" s="152"/>
      <c r="I14" s="152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52"/>
      <c r="B15" s="152"/>
      <c r="C15" s="152"/>
      <c r="D15" s="152"/>
      <c r="E15" s="152"/>
      <c r="F15" s="152"/>
      <c r="G15" s="152"/>
      <c r="H15" s="152"/>
      <c r="I15" s="152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>
      <c r="A16" s="152"/>
      <c r="B16" s="152"/>
      <c r="C16" s="152"/>
      <c r="D16" s="152"/>
      <c r="E16" s="152"/>
      <c r="F16" s="152"/>
      <c r="G16" s="152"/>
      <c r="H16" s="152"/>
      <c r="I16" s="152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>
      <c r="A17" s="152"/>
      <c r="B17" s="152"/>
      <c r="C17" s="152"/>
      <c r="D17" s="152"/>
      <c r="E17" s="152"/>
      <c r="F17" s="152"/>
      <c r="G17" s="152"/>
      <c r="H17" s="152"/>
      <c r="I17" s="152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>
      <c r="A18" s="152"/>
      <c r="B18" s="152"/>
      <c r="C18" s="152"/>
      <c r="D18" s="152"/>
      <c r="E18" s="152"/>
      <c r="F18" s="152"/>
      <c r="G18" s="152"/>
      <c r="H18" s="152"/>
      <c r="I18" s="152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>
      <c r="A19" s="152"/>
      <c r="B19" s="152"/>
      <c r="C19" s="152"/>
      <c r="D19" s="152"/>
      <c r="E19" s="152"/>
      <c r="F19" s="152"/>
      <c r="G19" s="152"/>
      <c r="H19" s="152"/>
      <c r="I19" s="152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>
      <c r="A20" s="152"/>
      <c r="B20" s="152"/>
      <c r="C20" s="152"/>
      <c r="D20" s="152"/>
      <c r="E20" s="152"/>
      <c r="F20" s="152"/>
      <c r="G20" s="152"/>
      <c r="H20" s="152"/>
      <c r="I20" s="152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>
      <c r="A21" s="152"/>
      <c r="B21" s="152"/>
      <c r="C21" s="152"/>
      <c r="D21" s="152"/>
      <c r="E21" s="152"/>
      <c r="F21" s="152"/>
      <c r="G21" s="152"/>
      <c r="H21" s="152"/>
      <c r="I21" s="152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>
      <c r="A22" s="152"/>
      <c r="B22" s="152"/>
      <c r="C22" s="152"/>
      <c r="D22" s="152"/>
      <c r="E22" s="152"/>
      <c r="F22" s="152"/>
      <c r="G22" s="152"/>
      <c r="H22" s="152"/>
      <c r="I22" s="152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>
      <c r="A23" s="152"/>
      <c r="B23" s="152"/>
      <c r="C23" s="152"/>
      <c r="D23" s="152"/>
      <c r="E23" s="152"/>
      <c r="F23" s="152"/>
      <c r="G23" s="152"/>
      <c r="H23" s="152"/>
      <c r="I23" s="152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>
      <c r="A24" s="148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>
      <c r="A25" s="148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>
      <c r="A26" s="148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>
      <c r="A28" s="148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>
      <c r="A30" s="148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>
      <c r="A31" s="148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>
      <c r="A32" s="148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>
      <c r="A33" s="148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>
      <c r="A35" s="148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>
      <c r="A36" s="148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>
      <c r="A37" s="148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>
      <c r="A38" s="148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>
      <c r="A39" s="148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>
      <c r="A40" s="148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>
      <c r="A41" s="148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>
      <c r="A81" s="148"/>
      <c r="B81" s="148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>
      <c r="A82" s="148"/>
      <c r="B82" s="148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>
      <c r="A83" s="148"/>
      <c r="B83" s="148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>
      <c r="A84" s="148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>
      <c r="A85" s="148"/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>
      <c r="A86" s="148"/>
      <c r="B86" s="148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>
      <c r="A87" s="148"/>
      <c r="B87" s="148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>
      <c r="A88" s="148"/>
      <c r="B88" s="148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>
      <c r="A89" s="148"/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>
      <c r="A90" s="148"/>
      <c r="B90" s="148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>
      <c r="A91" s="148"/>
      <c r="B91" s="148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>
      <c r="A92" s="148"/>
      <c r="B92" s="148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>
      <c r="A93" s="148"/>
      <c r="B93" s="148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>
      <c r="A94" s="148"/>
      <c r="B94" s="148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>
      <c r="A95" s="148"/>
      <c r="B95" s="148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>
      <c r="A96" s="148"/>
      <c r="B96" s="148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>
      <c r="A97" s="148"/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>
      <c r="A98" s="148"/>
      <c r="B98" s="148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>
      <c r="A99" s="148"/>
      <c r="B99" s="148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>
      <c r="A100" s="148"/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>
      <c r="A101" s="148"/>
      <c r="B101" s="148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>
      <c r="A102" s="148"/>
      <c r="B102" s="148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>
      <c r="A103" s="148"/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>
      <c r="A104" s="148"/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>
      <c r="A105" s="148"/>
      <c r="B105" s="148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>
      <c r="A106" s="148"/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>
      <c r="A107" s="148"/>
      <c r="B107" s="148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>
      <c r="A108" s="148"/>
      <c r="B108" s="148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>
      <c r="A109" s="148"/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>
      <c r="A110" s="148"/>
      <c r="B110" s="148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>
      <c r="A111" s="148"/>
      <c r="B111" s="148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>
      <c r="A112" s="148"/>
      <c r="B112" s="148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>
      <c r="A113" s="148"/>
      <c r="B113" s="148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>
      <c r="A114" s="148"/>
      <c r="B114" s="148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>
      <c r="A115" s="148"/>
      <c r="B115" s="148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>
      <c r="A116" s="148"/>
      <c r="B116" s="148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>
      <c r="A117" s="148"/>
      <c r="B117" s="148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>
      <c r="A118" s="148"/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>
      <c r="A119" s="148"/>
      <c r="B119" s="148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>
      <c r="A120" s="148"/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>
      <c r="A121" s="148"/>
      <c r="B121" s="148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>
      <c r="A122" s="148"/>
      <c r="B122" s="148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>
      <c r="A123" s="148"/>
      <c r="B123" s="148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>
      <c r="A124" s="148"/>
      <c r="B124" s="148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>
      <c r="A125" s="148"/>
      <c r="B125" s="148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>
      <c r="A126" s="148"/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>
      <c r="A127" s="148"/>
      <c r="B127" s="148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>
      <c r="A128" s="148"/>
      <c r="B128" s="148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>
      <c r="A129" s="148"/>
      <c r="B129" s="148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>
      <c r="A130" s="148"/>
      <c r="B130" s="148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>
      <c r="A131" s="148"/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>
      <c r="A132" s="148"/>
      <c r="B132" s="148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>
      <c r="A133" s="148"/>
      <c r="B133" s="148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>
      <c r="A134" s="148"/>
      <c r="B134" s="148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>
      <c r="A135" s="148"/>
      <c r="B135" s="148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>
      <c r="A136" s="148"/>
      <c r="B136" s="148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>
      <c r="A137" s="148"/>
      <c r="B137" s="148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>
      <c r="A138" s="148"/>
      <c r="B138" s="148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>
      <c r="A139" s="148"/>
      <c r="B139" s="148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>
      <c r="A140" s="148"/>
      <c r="B140" s="148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>
      <c r="A141" s="148"/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>
      <c r="A142" s="148"/>
      <c r="B142" s="148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>
      <c r="A143" s="148"/>
      <c r="B143" s="148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>
      <c r="A144" s="148"/>
      <c r="B144" s="148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>
      <c r="A145" s="148"/>
      <c r="B145" s="148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>
      <c r="A146" s="148"/>
      <c r="B146" s="148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>
      <c r="A147" s="148"/>
      <c r="B147" s="148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>
      <c r="A148" s="148"/>
      <c r="B148" s="148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>
      <c r="A149" s="148"/>
      <c r="B149" s="148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>
      <c r="A150" s="148"/>
      <c r="B150" s="148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>
      <c r="A151" s="148"/>
      <c r="B151" s="148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>
      <c r="A152" s="148"/>
      <c r="B152" s="148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>
      <c r="A153" s="148"/>
      <c r="B153" s="148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>
      <c r="A154" s="148"/>
      <c r="B154" s="148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>
      <c r="A155" s="148"/>
      <c r="B155" s="148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>
      <c r="A156" s="148"/>
      <c r="B156" s="148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>
      <c r="A157" s="148"/>
      <c r="B157" s="148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>
      <c r="A158" s="148"/>
      <c r="B158" s="148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>
      <c r="A159" s="148"/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>
      <c r="A160" s="148"/>
      <c r="B160" s="148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>
      <c r="A161" s="148"/>
      <c r="B161" s="148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>
      <c r="A162" s="148"/>
      <c r="B162" s="148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>
      <c r="A163" s="148"/>
      <c r="B163" s="148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>
      <c r="A164" s="148"/>
      <c r="B164" s="148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>
      <c r="A165" s="148"/>
      <c r="B165" s="148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>
      <c r="A166" s="148"/>
      <c r="B166" s="148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>
      <c r="A167" s="148"/>
      <c r="B167" s="148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>
      <c r="A168" s="148"/>
      <c r="B168" s="148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>
      <c r="A169" s="148"/>
      <c r="B169" s="148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>
      <c r="A170" s="148"/>
      <c r="B170" s="148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>
      <c r="A171" s="148"/>
      <c r="B171" s="148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>
      <c r="A172" s="148"/>
      <c r="B172" s="148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>
      <c r="A173" s="148"/>
      <c r="B173" s="148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>
      <c r="A174" s="148"/>
      <c r="B174" s="148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>
      <c r="A175" s="148"/>
      <c r="B175" s="148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>
      <c r="A176" s="148"/>
      <c r="B176" s="148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>
      <c r="A177" s="148"/>
      <c r="B177" s="148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>
      <c r="A178" s="148"/>
      <c r="B178" s="148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>
      <c r="A179" s="148"/>
      <c r="B179" s="148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>
      <c r="A180" s="148"/>
      <c r="B180" s="148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>
      <c r="A181" s="148"/>
      <c r="B181" s="148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>
      <c r="A182" s="148"/>
      <c r="B182" s="148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>
      <c r="A183" s="148"/>
      <c r="B183" s="148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>
      <c r="A184" s="148"/>
      <c r="B184" s="148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>
      <c r="A185" s="148"/>
      <c r="B185" s="148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>
      <c r="A186" s="148"/>
      <c r="B186" s="148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>
      <c r="A187" s="148"/>
      <c r="B187" s="148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>
      <c r="A188" s="148"/>
      <c r="B188" s="148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>
      <c r="A189" s="148"/>
      <c r="B189" s="148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>
      <c r="A190" s="148"/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>
      <c r="A191" s="148"/>
      <c r="B191" s="148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>
      <c r="A192" s="148"/>
      <c r="B192" s="148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>
      <c r="A193" s="148"/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>
      <c r="A194" s="148"/>
      <c r="B194" s="148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>
      <c r="A195" s="148"/>
      <c r="B195" s="148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>
      <c r="A196" s="148"/>
      <c r="B196" s="148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>
      <c r="A197" s="148"/>
      <c r="B197" s="148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>
      <c r="A198" s="148"/>
      <c r="B198" s="148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>
      <c r="A199" s="148"/>
      <c r="B199" s="148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>
      <c r="A200" s="148"/>
      <c r="B200" s="148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>
      <c r="A201" s="148"/>
      <c r="B201" s="148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>
      <c r="A202" s="148"/>
      <c r="B202" s="148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>
      <c r="A203" s="148"/>
      <c r="B203" s="148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>
      <c r="A204" s="148"/>
      <c r="B204" s="148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>
      <c r="A205" s="148"/>
      <c r="B205" s="148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>
      <c r="A206" s="148"/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>
      <c r="A207" s="148"/>
      <c r="B207" s="148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>
      <c r="A208" s="148"/>
      <c r="B208" s="148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>
      <c r="A209" s="148"/>
      <c r="B209" s="148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>
      <c r="A210" s="148"/>
      <c r="B210" s="148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>
      <c r="A211" s="148"/>
      <c r="B211" s="148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>
      <c r="A212" s="148"/>
      <c r="B212" s="148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>
      <c r="A213" s="148"/>
      <c r="B213" s="148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>
      <c r="A214" s="148"/>
      <c r="B214" s="148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>
      <c r="A215" s="148"/>
      <c r="B215" s="148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>
      <c r="A216" s="148"/>
      <c r="B216" s="148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>
      <c r="A217" s="148"/>
      <c r="B217" s="148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>
      <c r="A218" s="148"/>
      <c r="B218" s="148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>
      <c r="A219" s="148"/>
      <c r="B219" s="148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>
      <c r="A220" s="148"/>
      <c r="B220" s="148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>
      <c r="A221" s="148"/>
      <c r="B221" s="148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>
      <c r="A222" s="148"/>
      <c r="B222" s="148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>
      <c r="A223" s="148"/>
      <c r="B223" s="148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>
      <c r="A224" s="148"/>
      <c r="B224" s="148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>
      <c r="A225" s="148"/>
      <c r="B225" s="148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>
      <c r="A226" s="148"/>
      <c r="B226" s="148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>
      <c r="A227" s="148"/>
      <c r="B227" s="148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>
      <c r="A228" s="148"/>
      <c r="B228" s="148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>
      <c r="A229" s="148"/>
      <c r="B229" s="148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>
      <c r="A230" s="148"/>
      <c r="B230" s="148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>
      <c r="A231" s="148"/>
      <c r="B231" s="148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>
      <c r="A232" s="148"/>
      <c r="B232" s="148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>
      <c r="A233" s="148"/>
      <c r="B233" s="148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>
      <c r="A234" s="148"/>
      <c r="B234" s="148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>
      <c r="A235" s="148"/>
      <c r="B235" s="148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>
      <c r="A236" s="148"/>
      <c r="B236" s="148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>
      <c r="A237" s="148"/>
      <c r="B237" s="148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>
      <c r="A238" s="148"/>
      <c r="B238" s="148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>
      <c r="A239" s="148"/>
      <c r="B239" s="148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>
      <c r="A240" s="148"/>
      <c r="B240" s="148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>
      <c r="A241" s="148"/>
      <c r="B241" s="148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>
      <c r="A242" s="148"/>
      <c r="B242" s="148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>
      <c r="A243" s="148"/>
      <c r="B243" s="148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>
      <c r="A244" s="148"/>
      <c r="B244" s="148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>
      <c r="A245" s="148"/>
      <c r="B245" s="148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>
      <c r="A246" s="148"/>
      <c r="B246" s="148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>
      <c r="A247" s="148"/>
      <c r="B247" s="148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>
      <c r="A248" s="148"/>
      <c r="B248" s="148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>
      <c r="A249" s="148"/>
      <c r="B249" s="148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>
      <c r="A250" s="148"/>
      <c r="B250" s="148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>
      <c r="A251" s="148"/>
      <c r="B251" s="148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>
      <c r="A252" s="148"/>
      <c r="B252" s="148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>
      <c r="A253" s="148"/>
      <c r="B253" s="148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>
      <c r="A254" s="148"/>
      <c r="B254" s="148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>
      <c r="A255" s="148"/>
      <c r="B255" s="148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>
      <c r="A256" s="148"/>
      <c r="B256" s="148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>
      <c r="A257" s="148"/>
      <c r="B257" s="148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>
      <c r="A258" s="148"/>
      <c r="B258" s="148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>
      <c r="A259" s="148"/>
      <c r="B259" s="148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>
      <c r="A260" s="148"/>
      <c r="B260" s="148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>
      <c r="A261" s="148"/>
      <c r="B261" s="148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>
      <c r="A262" s="148"/>
      <c r="B262" s="148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>
      <c r="A263" s="148"/>
      <c r="B263" s="148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>
      <c r="A264" s="148"/>
      <c r="B264" s="148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>
      <c r="A265" s="148"/>
      <c r="B265" s="148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>
      <c r="A266" s="148"/>
      <c r="B266" s="148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>
      <c r="A267" s="148"/>
      <c r="B267" s="148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>
      <c r="A268" s="148"/>
      <c r="B268" s="148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>
      <c r="A269" s="148"/>
      <c r="B269" s="148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>
      <c r="A270" s="148"/>
      <c r="B270" s="148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>
      <c r="A271" s="148"/>
      <c r="B271" s="148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>
      <c r="A272" s="148"/>
      <c r="B272" s="148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>
      <c r="A273" s="148"/>
      <c r="B273" s="148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>
      <c r="A274" s="148"/>
      <c r="B274" s="148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>
      <c r="A275" s="148"/>
      <c r="B275" s="148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>
      <c r="A276" s="148"/>
      <c r="B276" s="148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>
      <c r="A277" s="148"/>
      <c r="B277" s="148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>
      <c r="A278" s="148"/>
      <c r="B278" s="148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>
      <c r="A279" s="148"/>
      <c r="B279" s="148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>
      <c r="A280" s="148"/>
      <c r="B280" s="148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>
      <c r="A281" s="148"/>
      <c r="B281" s="148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>
      <c r="A282" s="148"/>
      <c r="B282" s="148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>
      <c r="A283" s="148"/>
      <c r="B283" s="148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>
      <c r="A284" s="148"/>
      <c r="B284" s="148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>
      <c r="A285" s="148"/>
      <c r="B285" s="148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>
      <c r="A286" s="148"/>
      <c r="B286" s="148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>
      <c r="A287" s="148"/>
      <c r="B287" s="148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>
      <c r="A288" s="148"/>
      <c r="B288" s="148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>
      <c r="A289" s="148"/>
      <c r="B289" s="148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>
      <c r="A290" s="148"/>
      <c r="B290" s="148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>
      <c r="A291" s="148"/>
      <c r="B291" s="148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>
      <c r="A292" s="148"/>
      <c r="B292" s="148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>
      <c r="A293" s="148"/>
      <c r="B293" s="148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>
      <c r="A294" s="148"/>
      <c r="B294" s="148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>
      <c r="A295" s="148"/>
      <c r="B295" s="148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>
      <c r="A296" s="148"/>
      <c r="B296" s="148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>
      <c r="A297" s="148"/>
      <c r="B297" s="148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>
      <c r="A298" s="148"/>
      <c r="B298" s="148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>
      <c r="A299" s="148"/>
      <c r="B299" s="148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>
      <c r="A300" s="148"/>
      <c r="B300" s="148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>
      <c r="A301" s="148"/>
      <c r="B301" s="148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>
      <c r="A302" s="148"/>
      <c r="B302" s="148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>
      <c r="A303" s="148"/>
      <c r="B303" s="148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>
      <c r="A304" s="148"/>
      <c r="B304" s="148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>
      <c r="A305" s="148"/>
      <c r="B305" s="148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>
      <c r="A306" s="148"/>
      <c r="B306" s="148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>
      <c r="A307" s="148"/>
      <c r="B307" s="148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>
      <c r="A308" s="148"/>
      <c r="B308" s="148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>
      <c r="A309" s="148"/>
      <c r="B309" s="148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>
      <c r="A310" s="148"/>
      <c r="B310" s="148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>
      <c r="A311" s="148"/>
      <c r="B311" s="148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>
      <c r="A312" s="148"/>
      <c r="B312" s="148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>
      <c r="A313" s="148"/>
      <c r="B313" s="148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>
      <c r="A314" s="148"/>
      <c r="B314" s="148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>
      <c r="A315" s="148"/>
      <c r="B315" s="148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>
      <c r="A316" s="148"/>
      <c r="B316" s="148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>
      <c r="A317" s="148"/>
      <c r="B317" s="148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>
      <c r="A318" s="148"/>
      <c r="B318" s="148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>
      <c r="A319" s="148"/>
      <c r="B319" s="148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>
      <c r="A320" s="148"/>
      <c r="B320" s="148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>
      <c r="A321" s="148"/>
      <c r="B321" s="148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>
      <c r="A322" s="148"/>
      <c r="B322" s="148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>
      <c r="A323" s="148"/>
      <c r="B323" s="148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>
      <c r="A324" s="148"/>
      <c r="B324" s="148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>
      <c r="A325" s="148"/>
      <c r="B325" s="148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>
      <c r="A326" s="148"/>
      <c r="B326" s="148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>
      <c r="A327" s="148"/>
      <c r="B327" s="148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>
      <c r="A328" s="148"/>
      <c r="B328" s="148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>
      <c r="A329" s="148"/>
      <c r="B329" s="148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>
      <c r="A330" s="148"/>
      <c r="B330" s="148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>
      <c r="A331" s="148"/>
      <c r="B331" s="148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>
      <c r="A332" s="148"/>
      <c r="B332" s="148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>
      <c r="A333" s="148"/>
      <c r="B333" s="148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>
      <c r="A334" s="148"/>
      <c r="B334" s="148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>
      <c r="A335" s="148"/>
      <c r="B335" s="148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>
      <c r="A336" s="148"/>
      <c r="B336" s="148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>
      <c r="A337" s="148"/>
      <c r="B337" s="148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>
      <c r="A338" s="148"/>
      <c r="B338" s="148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>
      <c r="A339" s="148"/>
      <c r="B339" s="148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>
      <c r="A340" s="148"/>
      <c r="B340" s="148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>
      <c r="A341" s="148"/>
      <c r="B341" s="148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>
      <c r="A342" s="148"/>
      <c r="B342" s="148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>
      <c r="A343" s="148"/>
      <c r="B343" s="148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>
      <c r="A344" s="148"/>
      <c r="B344" s="148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>
      <c r="A345" s="148"/>
      <c r="B345" s="148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>
      <c r="A346" s="148"/>
      <c r="B346" s="148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>
      <c r="A347" s="148"/>
      <c r="B347" s="148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>
      <c r="A348" s="148"/>
      <c r="B348" s="148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>
      <c r="A349" s="148"/>
      <c r="B349" s="148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>
      <c r="A350" s="148"/>
      <c r="B350" s="148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>
      <c r="A351" s="148"/>
      <c r="B351" s="148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>
      <c r="A352" s="148"/>
      <c r="B352" s="148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>
      <c r="A353" s="148"/>
      <c r="B353" s="148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>
      <c r="A354" s="148"/>
      <c r="B354" s="148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>
      <c r="A355" s="148"/>
      <c r="B355" s="148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>
      <c r="A356" s="148"/>
      <c r="B356" s="148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>
      <c r="A357" s="148"/>
      <c r="B357" s="148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>
      <c r="A358" s="148"/>
      <c r="B358" s="148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>
      <c r="A359" s="148"/>
      <c r="B359" s="148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>
      <c r="A360" s="148"/>
      <c r="B360" s="148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>
      <c r="A361" s="148"/>
      <c r="B361" s="148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>
      <c r="A362" s="148"/>
      <c r="B362" s="148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>
      <c r="A363" s="148"/>
      <c r="B363" s="148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>
      <c r="A364" s="148"/>
      <c r="B364" s="148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>
      <c r="A365" s="148"/>
      <c r="B365" s="148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>
      <c r="A366" s="148"/>
      <c r="B366" s="148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>
      <c r="A367" s="148"/>
      <c r="B367" s="148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>
      <c r="A368" s="148"/>
      <c r="B368" s="148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>
      <c r="A369" s="148"/>
      <c r="B369" s="148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>
      <c r="A370" s="148"/>
      <c r="B370" s="148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>
      <c r="A371" s="148"/>
      <c r="B371" s="148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>
      <c r="A372" s="148"/>
      <c r="B372" s="148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>
      <c r="A373" s="148"/>
      <c r="B373" s="148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>
      <c r="A374" s="148"/>
      <c r="B374" s="148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>
      <c r="A375" s="148"/>
      <c r="B375" s="148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>
      <c r="A376" s="148"/>
      <c r="B376" s="148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>
      <c r="A377" s="148"/>
      <c r="B377" s="148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>
      <c r="A378" s="148"/>
      <c r="B378" s="148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>
      <c r="A379" s="148"/>
      <c r="B379" s="148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>
      <c r="A380" s="148"/>
      <c r="B380" s="148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>
      <c r="A381" s="148"/>
      <c r="B381" s="148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>
      <c r="A382" s="148"/>
      <c r="B382" s="148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>
      <c r="A383" s="148"/>
      <c r="B383" s="148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>
      <c r="A384" s="148"/>
      <c r="B384" s="148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>
      <c r="A385" s="148"/>
      <c r="B385" s="148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>
      <c r="A386" s="148"/>
      <c r="B386" s="148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>
      <c r="A387" s="148"/>
      <c r="B387" s="148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>
      <c r="A388" s="148"/>
      <c r="B388" s="148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>
      <c r="A389" s="148"/>
      <c r="B389" s="148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>
      <c r="A390" s="148"/>
      <c r="B390" s="148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>
      <c r="A391" s="148"/>
      <c r="B391" s="148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>
      <c r="A392" s="148"/>
      <c r="B392" s="148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>
      <c r="A394" s="148"/>
      <c r="B394" s="148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>
      <c r="A395" s="148"/>
      <c r="B395" s="148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>
      <c r="A396" s="148"/>
      <c r="B396" s="148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>
      <c r="A397" s="148"/>
      <c r="B397" s="148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>
      <c r="A398" s="148"/>
      <c r="B398" s="148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>
      <c r="A399" s="148"/>
      <c r="B399" s="148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>
      <c r="A400" s="148"/>
      <c r="B400" s="148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>
      <c r="A401" s="148"/>
      <c r="B401" s="148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>
      <c r="A402" s="148"/>
      <c r="B402" s="148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>
      <c r="A403" s="148"/>
      <c r="B403" s="148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>
      <c r="A404" s="148"/>
      <c r="B404" s="148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>
      <c r="A405" s="148"/>
      <c r="B405" s="148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>
      <c r="A406" s="148"/>
      <c r="B406" s="148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>
      <c r="A407" s="148"/>
      <c r="B407" s="148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>
      <c r="A408" s="148"/>
      <c r="B408" s="148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>
      <c r="A409" s="148"/>
      <c r="B409" s="148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>
      <c r="A410" s="148"/>
      <c r="B410" s="148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>
      <c r="A411" s="148"/>
      <c r="B411" s="148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>
      <c r="A412" s="148"/>
      <c r="B412" s="148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>
      <c r="A413" s="148"/>
      <c r="B413" s="148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>
      <c r="A414" s="148"/>
      <c r="B414" s="148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>
      <c r="A415" s="148"/>
      <c r="B415" s="148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>
      <c r="A416" s="148"/>
      <c r="B416" s="148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>
      <c r="A417" s="148"/>
      <c r="B417" s="148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>
      <c r="A418" s="148"/>
      <c r="B418" s="148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>
      <c r="A419" s="148"/>
      <c r="B419" s="148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>
      <c r="A420" s="148"/>
      <c r="B420" s="148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>
      <c r="A421" s="148"/>
      <c r="B421" s="148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>
      <c r="A422" s="148"/>
      <c r="B422" s="148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>
      <c r="A423" s="148"/>
      <c r="B423" s="148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>
      <c r="A424" s="148"/>
      <c r="B424" s="148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>
      <c r="A425" s="148"/>
      <c r="B425" s="148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>
      <c r="A426" s="148"/>
      <c r="B426" s="148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>
      <c r="A427" s="148"/>
      <c r="B427" s="148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>
      <c r="A428" s="148"/>
      <c r="B428" s="148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>
      <c r="A429" s="148"/>
      <c r="B429" s="148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>
      <c r="A430" s="148"/>
      <c r="B430" s="148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>
      <c r="A431" s="148"/>
      <c r="B431" s="148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>
      <c r="A432" s="148"/>
      <c r="B432" s="148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>
      <c r="A433" s="148"/>
      <c r="B433" s="148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>
      <c r="A434" s="148"/>
      <c r="B434" s="148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>
      <c r="A435" s="148"/>
      <c r="B435" s="148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>
      <c r="A436" s="148"/>
      <c r="B436" s="148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>
      <c r="A437" s="148"/>
      <c r="B437" s="148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>
      <c r="A438" s="148"/>
      <c r="B438" s="148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>
      <c r="A439" s="148"/>
      <c r="B439" s="148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>
      <c r="A440" s="148"/>
      <c r="B440" s="148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>
      <c r="A441" s="148"/>
      <c r="B441" s="148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>
      <c r="A442" s="148"/>
      <c r="B442" s="148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>
      <c r="A443" s="148"/>
      <c r="B443" s="148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>
      <c r="A444" s="148"/>
      <c r="B444" s="148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>
      <c r="A445" s="148"/>
      <c r="B445" s="148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>
      <c r="A446" s="148"/>
      <c r="B446" s="148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>
      <c r="A447" s="148"/>
      <c r="B447" s="148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>
      <c r="A448" s="148"/>
      <c r="B448" s="148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>
      <c r="A449" s="148"/>
      <c r="B449" s="148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>
      <c r="A450" s="148"/>
      <c r="B450" s="148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>
      <c r="A451" s="148"/>
      <c r="B451" s="148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>
      <c r="A452" s="148"/>
      <c r="B452" s="148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>
      <c r="A453" s="148"/>
      <c r="B453" s="148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>
      <c r="A454" s="148"/>
      <c r="B454" s="148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>
      <c r="A455" s="148"/>
      <c r="B455" s="148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>
      <c r="A456" s="148"/>
      <c r="B456" s="148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>
      <c r="A457" s="148"/>
      <c r="B457" s="148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>
      <c r="A458" s="148"/>
      <c r="B458" s="148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>
      <c r="A459" s="148"/>
      <c r="B459" s="148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>
      <c r="A460" s="148"/>
      <c r="B460" s="148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>
      <c r="A461" s="148"/>
      <c r="B461" s="148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>
      <c r="A462" s="148"/>
      <c r="B462" s="148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>
      <c r="A463" s="148"/>
      <c r="B463" s="148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>
      <c r="A464" s="148"/>
      <c r="B464" s="148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>
      <c r="A465" s="148"/>
      <c r="B465" s="148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>
      <c r="A466" s="148"/>
      <c r="B466" s="148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>
      <c r="A467" s="148"/>
      <c r="B467" s="148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>
      <c r="A468" s="148"/>
      <c r="B468" s="148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>
      <c r="A469" s="148"/>
      <c r="B469" s="148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>
      <c r="A470" s="148"/>
      <c r="B470" s="148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>
      <c r="A471" s="148"/>
      <c r="B471" s="148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>
      <c r="A472" s="148"/>
      <c r="B472" s="148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>
      <c r="A473" s="148"/>
      <c r="B473" s="148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>
      <c r="A474" s="148"/>
      <c r="B474" s="148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>
      <c r="A475" s="148"/>
      <c r="B475" s="148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>
      <c r="A476" s="148"/>
      <c r="B476" s="148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>
      <c r="A477" s="148"/>
      <c r="B477" s="148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>
      <c r="A478" s="148"/>
      <c r="B478" s="148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>
      <c r="A479" s="148"/>
      <c r="B479" s="148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>
      <c r="A480" s="148"/>
      <c r="B480" s="148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>
      <c r="A481" s="148"/>
      <c r="B481" s="148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>
      <c r="A482" s="148"/>
      <c r="B482" s="148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>
      <c r="A483" s="148"/>
      <c r="B483" s="148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>
      <c r="A484" s="148"/>
      <c r="B484" s="148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>
      <c r="A485" s="148"/>
      <c r="B485" s="148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>
      <c r="A486" s="148"/>
      <c r="B486" s="148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>
      <c r="A487" s="148"/>
      <c r="B487" s="148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>
      <c r="A488" s="148"/>
      <c r="B488" s="148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>
      <c r="A489" s="148"/>
      <c r="B489" s="148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>
      <c r="A490" s="148"/>
      <c r="B490" s="148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>
      <c r="A491" s="148"/>
      <c r="B491" s="148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>
      <c r="A492" s="148"/>
      <c r="B492" s="148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>
      <c r="A493" s="148"/>
      <c r="B493" s="148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>
      <c r="A494" s="148"/>
      <c r="B494" s="148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>
      <c r="A495" s="148"/>
      <c r="B495" s="148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>
      <c r="A496" s="148"/>
      <c r="B496" s="148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>
      <c r="A497" s="148"/>
      <c r="B497" s="148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>
      <c r="A498" s="148"/>
      <c r="B498" s="148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>
      <c r="A499" s="148"/>
      <c r="B499" s="148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>
      <c r="A500" s="148"/>
      <c r="B500" s="148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>
      <c r="A501" s="148"/>
      <c r="B501" s="148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>
      <c r="A502" s="148"/>
      <c r="B502" s="148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>
      <c r="A503" s="148"/>
      <c r="B503" s="148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>
      <c r="A504" s="148"/>
      <c r="B504" s="148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>
      <c r="A505" s="148"/>
      <c r="B505" s="148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>
      <c r="A506" s="148"/>
      <c r="B506" s="148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>
      <c r="A507" s="148"/>
      <c r="B507" s="148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>
      <c r="A508" s="148"/>
      <c r="B508" s="148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>
      <c r="A509" s="148"/>
      <c r="B509" s="148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>
      <c r="A510" s="148"/>
      <c r="B510" s="148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>
      <c r="A511" s="148"/>
      <c r="B511" s="148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>
      <c r="A512" s="148"/>
      <c r="B512" s="148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>
      <c r="A513" s="148"/>
      <c r="B513" s="148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>
      <c r="A514" s="148"/>
      <c r="B514" s="148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>
      <c r="A515" s="148"/>
      <c r="B515" s="148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>
      <c r="A516" s="148"/>
      <c r="B516" s="148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>
      <c r="A517" s="148"/>
      <c r="B517" s="148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>
      <c r="A518" s="148"/>
      <c r="B518" s="148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>
      <c r="A519" s="148"/>
      <c r="B519" s="148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>
      <c r="A520" s="148"/>
      <c r="B520" s="148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>
      <c r="A521" s="148"/>
      <c r="B521" s="148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>
      <c r="A522" s="148"/>
      <c r="B522" s="148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>
      <c r="A523" s="148"/>
      <c r="B523" s="148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>
      <c r="A524" s="148"/>
      <c r="B524" s="148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>
      <c r="A525" s="148"/>
      <c r="B525" s="148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>
      <c r="A526" s="148"/>
      <c r="B526" s="148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>
      <c r="A527" s="148"/>
      <c r="B527" s="148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>
      <c r="A528" s="148"/>
      <c r="B528" s="148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>
      <c r="A529" s="148"/>
      <c r="B529" s="148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>
      <c r="A530" s="148"/>
      <c r="B530" s="148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>
      <c r="A531" s="148"/>
      <c r="B531" s="148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>
      <c r="A532" s="148"/>
      <c r="B532" s="148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>
      <c r="A533" s="148"/>
      <c r="B533" s="148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>
      <c r="A534" s="148"/>
      <c r="B534" s="148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>
      <c r="A535" s="148"/>
      <c r="B535" s="148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>
      <c r="A536" s="148"/>
      <c r="B536" s="148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>
      <c r="A537" s="148"/>
      <c r="B537" s="148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>
      <c r="A538" s="148"/>
      <c r="B538" s="148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>
      <c r="A539" s="148"/>
      <c r="B539" s="148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>
      <c r="A540" s="148"/>
      <c r="B540" s="148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>
      <c r="A541" s="148"/>
      <c r="B541" s="148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>
      <c r="A542" s="148"/>
      <c r="B542" s="148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>
      <c r="A543" s="148"/>
      <c r="B543" s="148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>
      <c r="A544" s="148"/>
      <c r="B544" s="148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>
      <c r="A545" s="148"/>
      <c r="B545" s="148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>
      <c r="A546" s="148"/>
      <c r="B546" s="148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>
      <c r="A547" s="148"/>
      <c r="B547" s="148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>
      <c r="A548" s="148"/>
      <c r="B548" s="148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>
      <c r="A549" s="148"/>
      <c r="B549" s="148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>
      <c r="A550" s="148"/>
      <c r="B550" s="148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>
      <c r="A551" s="148"/>
      <c r="B551" s="148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>
      <c r="A552" s="148"/>
      <c r="B552" s="148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>
      <c r="A553" s="148"/>
      <c r="B553" s="148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>
      <c r="A554" s="148"/>
      <c r="B554" s="148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>
      <c r="A555" s="148"/>
      <c r="B555" s="148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>
      <c r="A556" s="148"/>
      <c r="B556" s="148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>
      <c r="A557" s="148"/>
      <c r="B557" s="148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>
      <c r="A558" s="148"/>
      <c r="B558" s="148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>
      <c r="A559" s="148"/>
      <c r="B559" s="148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>
      <c r="A560" s="148"/>
      <c r="B560" s="148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>
      <c r="A561" s="148"/>
      <c r="B561" s="148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>
      <c r="A562" s="148"/>
      <c r="B562" s="148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>
      <c r="A563" s="148"/>
      <c r="B563" s="148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>
      <c r="A564" s="148"/>
      <c r="B564" s="148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>
      <c r="A565" s="148"/>
      <c r="B565" s="148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>
      <c r="A566" s="148"/>
      <c r="B566" s="148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>
      <c r="A567" s="148"/>
      <c r="B567" s="148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>
      <c r="A568" s="148"/>
      <c r="B568" s="148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>
      <c r="A569" s="148"/>
      <c r="B569" s="148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>
      <c r="A570" s="148"/>
      <c r="B570" s="148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>
      <c r="A571" s="148"/>
      <c r="B571" s="148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>
      <c r="A572" s="148"/>
      <c r="B572" s="148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>
      <c r="A573" s="148"/>
      <c r="B573" s="148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>
      <c r="A574" s="148"/>
      <c r="B574" s="148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>
      <c r="A575" s="148"/>
      <c r="B575" s="148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>
      <c r="A576" s="148"/>
      <c r="B576" s="148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>
      <c r="A577" s="148"/>
      <c r="B577" s="148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>
      <c r="A578" s="148"/>
      <c r="B578" s="148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>
      <c r="A579" s="148"/>
      <c r="B579" s="148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>
      <c r="A580" s="148"/>
      <c r="B580" s="148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>
      <c r="A581" s="148"/>
      <c r="B581" s="148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>
      <c r="A582" s="148"/>
      <c r="B582" s="148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>
      <c r="A583" s="148"/>
      <c r="B583" s="148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>
      <c r="A584" s="148"/>
      <c r="B584" s="148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>
      <c r="A585" s="148"/>
      <c r="B585" s="148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>
      <c r="A586" s="148"/>
      <c r="B586" s="148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>
      <c r="A587" s="148"/>
      <c r="B587" s="148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>
      <c r="A588" s="148"/>
      <c r="B588" s="148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>
      <c r="A589" s="148"/>
      <c r="B589" s="148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>
      <c r="A590" s="148"/>
      <c r="B590" s="148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>
      <c r="A591" s="148"/>
      <c r="B591" s="148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>
      <c r="A592" s="148"/>
      <c r="B592" s="148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>
      <c r="A593" s="148"/>
      <c r="B593" s="148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>
      <c r="A594" s="148"/>
      <c r="B594" s="148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>
      <c r="A595" s="148"/>
      <c r="B595" s="148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>
      <c r="A596" s="148"/>
      <c r="B596" s="148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>
      <c r="A597" s="148"/>
      <c r="B597" s="148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>
      <c r="A598" s="148"/>
      <c r="B598" s="148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>
      <c r="A599" s="148"/>
      <c r="B599" s="148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>
      <c r="A600" s="148"/>
      <c r="B600" s="148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>
      <c r="A601" s="148"/>
      <c r="B601" s="148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>
      <c r="A602" s="148"/>
      <c r="B602" s="148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>
      <c r="A603" s="148"/>
      <c r="B603" s="148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>
      <c r="A604" s="148"/>
      <c r="B604" s="148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>
      <c r="A605" s="148"/>
      <c r="B605" s="148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>
      <c r="A606" s="148"/>
      <c r="B606" s="148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>
      <c r="A607" s="148"/>
      <c r="B607" s="148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>
      <c r="A608" s="148"/>
      <c r="B608" s="148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>
      <c r="A609" s="148"/>
      <c r="B609" s="148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>
      <c r="A610" s="148"/>
      <c r="B610" s="148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>
      <c r="A611" s="148"/>
      <c r="B611" s="148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>
      <c r="A612" s="148"/>
      <c r="B612" s="148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>
      <c r="A613" s="148"/>
      <c r="B613" s="148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>
      <c r="A614" s="148"/>
      <c r="B614" s="148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>
      <c r="A615" s="148"/>
      <c r="B615" s="148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>
      <c r="A616" s="148"/>
      <c r="B616" s="148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>
      <c r="A617" s="148"/>
      <c r="B617" s="148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>
      <c r="A618" s="148"/>
      <c r="B618" s="148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>
      <c r="A619" s="148"/>
      <c r="B619" s="148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>
      <c r="A620" s="148"/>
      <c r="B620" s="148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>
      <c r="A621" s="148"/>
      <c r="B621" s="148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>
      <c r="A622" s="148"/>
      <c r="B622" s="148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>
      <c r="A623" s="148"/>
      <c r="B623" s="148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>
      <c r="A624" s="148"/>
      <c r="B624" s="148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>
      <c r="A625" s="148"/>
      <c r="B625" s="148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>
      <c r="A626" s="148"/>
      <c r="B626" s="148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>
      <c r="A627" s="148"/>
      <c r="B627" s="148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>
      <c r="A628" s="148"/>
      <c r="B628" s="148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>
      <c r="A629" s="148"/>
      <c r="B629" s="148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>
      <c r="A630" s="148"/>
      <c r="B630" s="148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>
      <c r="A631" s="148"/>
      <c r="B631" s="148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>
      <c r="A632" s="148"/>
      <c r="B632" s="148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>
      <c r="A633" s="148"/>
      <c r="B633" s="148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>
      <c r="A634" s="148"/>
      <c r="B634" s="148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>
      <c r="A635" s="148"/>
      <c r="B635" s="148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>
      <c r="A636" s="148"/>
      <c r="B636" s="148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>
      <c r="A637" s="148"/>
      <c r="B637" s="148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>
      <c r="A638" s="148"/>
      <c r="B638" s="148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>
      <c r="A639" s="148"/>
      <c r="B639" s="148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>
      <c r="A640" s="148"/>
      <c r="B640" s="148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>
      <c r="A641" s="148"/>
      <c r="B641" s="148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>
      <c r="A642" s="148"/>
      <c r="B642" s="148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>
      <c r="A643" s="148"/>
      <c r="B643" s="148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>
      <c r="A644" s="148"/>
      <c r="B644" s="148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>
      <c r="A645" s="148"/>
      <c r="B645" s="148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>
      <c r="A646" s="148"/>
      <c r="B646" s="148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>
      <c r="A647" s="148"/>
      <c r="B647" s="148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>
      <c r="A648" s="148"/>
      <c r="B648" s="148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>
      <c r="A649" s="148"/>
      <c r="B649" s="148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>
      <c r="A650" s="148"/>
      <c r="B650" s="148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>
      <c r="A651" s="148"/>
      <c r="B651" s="148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>
      <c r="A652" s="148"/>
      <c r="B652" s="148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>
      <c r="A653" s="148"/>
      <c r="B653" s="148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>
      <c r="A654" s="148"/>
      <c r="B654" s="148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>
      <c r="A655" s="148"/>
      <c r="B655" s="148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>
      <c r="A656" s="148"/>
      <c r="B656" s="148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>
      <c r="A657" s="148"/>
      <c r="B657" s="148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>
      <c r="A658" s="148"/>
      <c r="B658" s="148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>
      <c r="A659" s="148"/>
      <c r="B659" s="148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>
      <c r="A660" s="148"/>
      <c r="B660" s="148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>
      <c r="A661" s="148"/>
      <c r="B661" s="148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>
      <c r="A662" s="148"/>
      <c r="B662" s="148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>
      <c r="A663" s="148"/>
      <c r="B663" s="148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>
      <c r="A664" s="148"/>
      <c r="B664" s="148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>
      <c r="A665" s="148"/>
      <c r="B665" s="148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>
      <c r="A666" s="148"/>
      <c r="B666" s="148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>
      <c r="A667" s="148"/>
      <c r="B667" s="148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>
      <c r="A668" s="148"/>
      <c r="B668" s="148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>
      <c r="A669" s="148"/>
      <c r="B669" s="148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>
      <c r="A670" s="148"/>
      <c r="B670" s="148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>
      <c r="A671" s="148"/>
      <c r="B671" s="148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>
      <c r="A672" s="148"/>
      <c r="B672" s="148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>
      <c r="A673" s="148"/>
      <c r="B673" s="148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>
      <c r="A674" s="148"/>
      <c r="B674" s="148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>
      <c r="A675" s="148"/>
      <c r="B675" s="148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>
      <c r="A676" s="148"/>
      <c r="B676" s="148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>
      <c r="A677" s="148"/>
      <c r="B677" s="148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>
      <c r="A678" s="148"/>
      <c r="B678" s="148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>
      <c r="A679" s="148"/>
      <c r="B679" s="148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>
      <c r="A680" s="148"/>
      <c r="B680" s="148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>
      <c r="A681" s="148"/>
      <c r="B681" s="148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>
      <c r="A682" s="148"/>
      <c r="B682" s="148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>
      <c r="A683" s="148"/>
      <c r="B683" s="148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>
      <c r="A684" s="148"/>
      <c r="B684" s="148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>
      <c r="A685" s="148"/>
      <c r="B685" s="148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>
      <c r="A686" s="148"/>
      <c r="B686" s="148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>
      <c r="A687" s="148"/>
      <c r="B687" s="148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>
      <c r="A688" s="148"/>
      <c r="B688" s="148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>
      <c r="A689" s="148"/>
      <c r="B689" s="148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>
      <c r="A690" s="148"/>
      <c r="B690" s="148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>
      <c r="A691" s="148"/>
      <c r="B691" s="148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>
      <c r="A692" s="148"/>
      <c r="B692" s="148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>
      <c r="A693" s="148"/>
      <c r="B693" s="148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>
      <c r="A694" s="148"/>
      <c r="B694" s="148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>
      <c r="A695" s="148"/>
      <c r="B695" s="148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>
      <c r="A696" s="148"/>
      <c r="B696" s="148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>
      <c r="A697" s="148"/>
      <c r="B697" s="148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>
      <c r="A698" s="148"/>
      <c r="B698" s="148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>
      <c r="A699" s="148"/>
      <c r="B699" s="148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>
      <c r="A700" s="148"/>
      <c r="B700" s="148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>
      <c r="A701" s="148"/>
      <c r="B701" s="148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>
      <c r="A702" s="148"/>
      <c r="B702" s="148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>
      <c r="A703" s="148"/>
      <c r="B703" s="148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>
      <c r="A704" s="148"/>
      <c r="B704" s="148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>
      <c r="A705" s="148"/>
      <c r="B705" s="148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>
      <c r="A706" s="148"/>
      <c r="B706" s="148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>
      <c r="A707" s="148"/>
      <c r="B707" s="148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>
      <c r="A708" s="148"/>
      <c r="B708" s="148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>
      <c r="A709" s="148"/>
      <c r="B709" s="148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>
      <c r="A710" s="148"/>
      <c r="B710" s="148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>
      <c r="A711" s="148"/>
      <c r="B711" s="148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>
      <c r="A712" s="148"/>
      <c r="B712" s="148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>
      <c r="A713" s="148"/>
      <c r="B713" s="148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>
      <c r="A714" s="148"/>
      <c r="B714" s="148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>
      <c r="A715" s="148"/>
      <c r="B715" s="148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>
      <c r="A716" s="148"/>
      <c r="B716" s="148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>
      <c r="A717" s="148"/>
      <c r="B717" s="148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>
      <c r="A718" s="148"/>
      <c r="B718" s="148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>
      <c r="A719" s="148"/>
      <c r="B719" s="148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>
      <c r="A720" s="148"/>
      <c r="B720" s="148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>
      <c r="A721" s="148"/>
      <c r="B721" s="148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>
      <c r="A722" s="148"/>
      <c r="B722" s="148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>
      <c r="A723" s="148"/>
      <c r="B723" s="148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>
      <c r="A724" s="148"/>
      <c r="B724" s="148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>
      <c r="A725" s="148"/>
      <c r="B725" s="148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>
      <c r="A726" s="148"/>
      <c r="B726" s="148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>
      <c r="A727" s="148"/>
      <c r="B727" s="148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>
      <c r="A728" s="148"/>
      <c r="B728" s="148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>
      <c r="A729" s="148"/>
      <c r="B729" s="148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>
      <c r="A730" s="148"/>
      <c r="B730" s="148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>
      <c r="A731" s="148"/>
      <c r="B731" s="148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>
      <c r="A732" s="148"/>
      <c r="B732" s="148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>
      <c r="A733" s="148"/>
      <c r="B733" s="148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>
      <c r="A734" s="148"/>
      <c r="B734" s="148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>
      <c r="A735" s="148"/>
      <c r="B735" s="148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>
      <c r="A736" s="148"/>
      <c r="B736" s="148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>
      <c r="A737" s="148"/>
      <c r="B737" s="148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>
      <c r="A738" s="148"/>
      <c r="B738" s="148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>
      <c r="A739" s="148"/>
      <c r="B739" s="148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>
      <c r="A740" s="148"/>
      <c r="B740" s="148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>
      <c r="A741" s="148"/>
      <c r="B741" s="148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>
      <c r="A742" s="148"/>
      <c r="B742" s="148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>
      <c r="A743" s="148"/>
      <c r="B743" s="148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>
      <c r="A744" s="148"/>
      <c r="B744" s="148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>
      <c r="A745" s="148"/>
      <c r="B745" s="148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>
      <c r="A746" s="148"/>
      <c r="B746" s="148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>
      <c r="A747" s="148"/>
      <c r="B747" s="148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>
      <c r="A748" s="148"/>
      <c r="B748" s="148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>
      <c r="A749" s="148"/>
      <c r="B749" s="148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>
      <c r="A750" s="148"/>
      <c r="B750" s="148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>
      <c r="A751" s="148"/>
      <c r="B751" s="148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>
      <c r="A752" s="148"/>
      <c r="B752" s="148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>
      <c r="A753" s="148"/>
      <c r="B753" s="148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>
      <c r="A754" s="148"/>
      <c r="B754" s="148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>
      <c r="A755" s="148"/>
      <c r="B755" s="148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>
      <c r="A756" s="148"/>
      <c r="B756" s="148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>
      <c r="A757" s="148"/>
      <c r="B757" s="148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>
      <c r="A758" s="148"/>
      <c r="B758" s="148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>
      <c r="A759" s="148"/>
      <c r="B759" s="148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>
      <c r="A760" s="148"/>
      <c r="B760" s="148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>
      <c r="A761" s="148"/>
      <c r="B761" s="148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>
      <c r="A762" s="148"/>
      <c r="B762" s="148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>
      <c r="A763" s="148"/>
      <c r="B763" s="148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>
      <c r="A764" s="148"/>
      <c r="B764" s="148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>
      <c r="A765" s="148"/>
      <c r="B765" s="148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>
      <c r="A766" s="148"/>
      <c r="B766" s="148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>
      <c r="A767" s="148"/>
      <c r="B767" s="148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>
      <c r="A768" s="148"/>
      <c r="B768" s="148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>
      <c r="A769" s="148"/>
      <c r="B769" s="148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>
      <c r="A770" s="148"/>
      <c r="B770" s="148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>
      <c r="A771" s="148"/>
      <c r="B771" s="148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>
      <c r="A772" s="148"/>
      <c r="B772" s="148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>
      <c r="A773" s="148"/>
      <c r="B773" s="148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>
      <c r="A774" s="148"/>
      <c r="B774" s="148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>
      <c r="A775" s="148"/>
      <c r="B775" s="148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>
      <c r="A776" s="148"/>
      <c r="B776" s="148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>
      <c r="A777" s="148"/>
      <c r="B777" s="148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>
      <c r="A778" s="148"/>
      <c r="B778" s="148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>
      <c r="A779" s="148"/>
      <c r="B779" s="148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>
      <c r="A780" s="148"/>
      <c r="B780" s="148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>
      <c r="A781" s="148"/>
      <c r="B781" s="148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>
      <c r="A782" s="148"/>
      <c r="B782" s="148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>
      <c r="A783" s="148"/>
      <c r="B783" s="148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>
      <c r="A784" s="148"/>
      <c r="B784" s="148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>
      <c r="A785" s="148"/>
      <c r="B785" s="148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>
      <c r="A786" s="148"/>
      <c r="B786" s="148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>
      <c r="A787" s="148"/>
      <c r="B787" s="148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>
      <c r="A788" s="148"/>
      <c r="B788" s="148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>
      <c r="A789" s="148"/>
      <c r="B789" s="148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>
      <c r="A790" s="148"/>
      <c r="B790" s="148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>
      <c r="A791" s="148"/>
      <c r="B791" s="148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>
      <c r="A792" s="148"/>
      <c r="B792" s="148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>
      <c r="A793" s="148"/>
      <c r="B793" s="148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>
      <c r="A794" s="148"/>
      <c r="B794" s="148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>
      <c r="A795" s="148"/>
      <c r="B795" s="148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>
      <c r="A796" s="148"/>
      <c r="B796" s="148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>
      <c r="A797" s="148"/>
      <c r="B797" s="148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>
      <c r="A798" s="148"/>
      <c r="B798" s="148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>
      <c r="A799" s="148"/>
      <c r="B799" s="148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>
      <c r="A800" s="148"/>
      <c r="B800" s="148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>
      <c r="A801" s="148"/>
      <c r="B801" s="148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>
      <c r="A802" s="148"/>
      <c r="B802" s="148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>
      <c r="A803" s="148"/>
      <c r="B803" s="148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>
      <c r="A804" s="148"/>
      <c r="B804" s="148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>
      <c r="A805" s="148"/>
      <c r="B805" s="148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>
      <c r="A806" s="148"/>
      <c r="B806" s="148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>
      <c r="A807" s="148"/>
      <c r="B807" s="148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>
      <c r="A808" s="148"/>
      <c r="B808" s="148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>
      <c r="A809" s="148"/>
      <c r="B809" s="148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>
      <c r="A810" s="148"/>
      <c r="B810" s="148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>
      <c r="A811" s="148"/>
      <c r="B811" s="148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>
      <c r="A812" s="148"/>
      <c r="B812" s="148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>
      <c r="A813" s="148"/>
      <c r="B813" s="148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>
      <c r="A814" s="148"/>
      <c r="B814" s="148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>
      <c r="A815" s="148"/>
      <c r="B815" s="148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>
      <c r="A816" s="148"/>
      <c r="B816" s="148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>
      <c r="A817" s="148"/>
      <c r="B817" s="148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>
      <c r="A818" s="148"/>
      <c r="B818" s="148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>
      <c r="A819" s="148"/>
      <c r="B819" s="148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>
      <c r="A820" s="148"/>
      <c r="B820" s="148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>
      <c r="A821" s="148"/>
      <c r="B821" s="148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>
      <c r="A822" s="148"/>
      <c r="B822" s="148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>
      <c r="A823" s="148"/>
      <c r="B823" s="148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>
      <c r="A824" s="148"/>
      <c r="B824" s="148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>
      <c r="A825" s="148"/>
      <c r="B825" s="148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>
      <c r="A826" s="148"/>
      <c r="B826" s="148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>
      <c r="A827" s="148"/>
      <c r="B827" s="148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>
      <c r="A828" s="148"/>
      <c r="B828" s="148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>
      <c r="A829" s="148"/>
      <c r="B829" s="148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>
      <c r="A830" s="148"/>
      <c r="B830" s="148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>
      <c r="A831" s="148"/>
      <c r="B831" s="148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>
      <c r="A832" s="148"/>
      <c r="B832" s="148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>
      <c r="A833" s="148"/>
      <c r="B833" s="148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>
      <c r="A834" s="148"/>
      <c r="B834" s="148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>
      <c r="A835" s="148"/>
      <c r="B835" s="148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>
      <c r="A836" s="148"/>
      <c r="B836" s="148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>
      <c r="A837" s="148"/>
      <c r="B837" s="148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>
      <c r="A838" s="148"/>
      <c r="B838" s="148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>
      <c r="A839" s="148"/>
      <c r="B839" s="148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>
      <c r="A840" s="148"/>
      <c r="B840" s="148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>
      <c r="A841" s="148"/>
      <c r="B841" s="148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>
      <c r="A842" s="148"/>
      <c r="B842" s="148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>
      <c r="A843" s="148"/>
      <c r="B843" s="148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>
      <c r="A844" s="148"/>
      <c r="B844" s="148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>
      <c r="A845" s="148"/>
      <c r="B845" s="148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>
      <c r="A846" s="148"/>
      <c r="B846" s="148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>
      <c r="A847" s="148"/>
      <c r="B847" s="148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>
      <c r="A848" s="148"/>
      <c r="B848" s="148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>
      <c r="A849" s="148"/>
      <c r="B849" s="148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>
      <c r="A850" s="148"/>
      <c r="B850" s="148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>
      <c r="A851" s="148"/>
      <c r="B851" s="148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>
      <c r="A852" s="148"/>
      <c r="B852" s="148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>
      <c r="A853" s="148"/>
      <c r="B853" s="148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>
      <c r="A854" s="148"/>
      <c r="B854" s="148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>
      <c r="A855" s="148"/>
      <c r="B855" s="148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>
      <c r="A856" s="148"/>
      <c r="B856" s="148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>
      <c r="A857" s="148"/>
      <c r="B857" s="148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>
      <c r="A858" s="148"/>
      <c r="B858" s="148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>
      <c r="A859" s="148"/>
      <c r="B859" s="148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>
      <c r="A860" s="148"/>
      <c r="B860" s="148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>
      <c r="A861" s="148"/>
      <c r="B861" s="148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>
      <c r="A862" s="148"/>
      <c r="B862" s="148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>
      <c r="A863" s="148"/>
      <c r="B863" s="148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>
      <c r="A864" s="148"/>
      <c r="B864" s="148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>
      <c r="A865" s="148"/>
      <c r="B865" s="148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>
      <c r="A866" s="148"/>
      <c r="B866" s="148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>
      <c r="A867" s="148"/>
      <c r="B867" s="148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>
      <c r="A868" s="148"/>
      <c r="B868" s="148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>
      <c r="A869" s="148"/>
      <c r="B869" s="148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>
      <c r="A870" s="148"/>
      <c r="B870" s="148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>
      <c r="A871" s="148"/>
      <c r="B871" s="148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>
      <c r="A872" s="148"/>
      <c r="B872" s="148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>
      <c r="A873" s="148"/>
      <c r="B873" s="148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>
      <c r="A874" s="148"/>
      <c r="B874" s="148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>
      <c r="A875" s="148"/>
      <c r="B875" s="148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>
      <c r="A876" s="148"/>
      <c r="B876" s="148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>
      <c r="A877" s="148"/>
      <c r="B877" s="148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>
      <c r="A878" s="148"/>
      <c r="B878" s="148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>
      <c r="A879" s="148"/>
      <c r="B879" s="148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>
      <c r="A880" s="148"/>
      <c r="B880" s="148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>
      <c r="A881" s="148"/>
      <c r="B881" s="148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>
      <c r="A882" s="148"/>
      <c r="B882" s="148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>
      <c r="A883" s="148"/>
      <c r="B883" s="148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>
      <c r="A884" s="148"/>
      <c r="B884" s="148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>
      <c r="A885" s="148"/>
      <c r="B885" s="148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>
      <c r="A886" s="148"/>
      <c r="B886" s="148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>
      <c r="A887" s="148"/>
      <c r="B887" s="148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>
      <c r="A888" s="148"/>
      <c r="B888" s="148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>
      <c r="A889" s="148"/>
      <c r="B889" s="148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>
      <c r="A890" s="148"/>
      <c r="B890" s="148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>
      <c r="A891" s="148"/>
      <c r="B891" s="148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>
      <c r="A892" s="148"/>
      <c r="B892" s="148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>
      <c r="A893" s="148"/>
      <c r="B893" s="148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>
      <c r="A894" s="148"/>
      <c r="B894" s="148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>
      <c r="A895" s="148"/>
      <c r="B895" s="148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>
      <c r="A896" s="148"/>
      <c r="B896" s="148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>
      <c r="A897" s="148"/>
      <c r="B897" s="148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>
      <c r="A898" s="148"/>
      <c r="B898" s="148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>
      <c r="A899" s="148"/>
      <c r="B899" s="148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>
      <c r="A900" s="148"/>
      <c r="B900" s="148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>
      <c r="A901" s="148"/>
      <c r="B901" s="148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>
      <c r="A902" s="148"/>
      <c r="B902" s="148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>
      <c r="A903" s="148"/>
      <c r="B903" s="148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>
      <c r="A904" s="148"/>
      <c r="B904" s="148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>
      <c r="A905" s="148"/>
      <c r="B905" s="148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>
      <c r="A906" s="148"/>
      <c r="B906" s="148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>
      <c r="A907" s="148"/>
      <c r="B907" s="148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>
      <c r="A908" s="148"/>
      <c r="B908" s="148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>
      <c r="A909" s="148"/>
      <c r="B909" s="148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>
      <c r="A910" s="148"/>
      <c r="B910" s="148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>
      <c r="A911" s="148"/>
      <c r="B911" s="148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>
      <c r="A912" s="148"/>
      <c r="B912" s="148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>
      <c r="A913" s="148"/>
      <c r="B913" s="148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>
      <c r="A914" s="148"/>
      <c r="B914" s="148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>
      <c r="A915" s="148"/>
      <c r="B915" s="148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>
      <c r="A916" s="148"/>
      <c r="B916" s="148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>
      <c r="A917" s="148"/>
      <c r="B917" s="148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>
      <c r="A918" s="148"/>
      <c r="B918" s="148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>
      <c r="A919" s="148"/>
      <c r="B919" s="148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>
      <c r="A920" s="148"/>
      <c r="B920" s="148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>
      <c r="A921" s="148"/>
      <c r="B921" s="148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>
      <c r="A922" s="148"/>
      <c r="B922" s="148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>
      <c r="A923" s="148"/>
      <c r="B923" s="148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>
      <c r="A924" s="148"/>
      <c r="B924" s="148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>
      <c r="A925" s="148"/>
      <c r="B925" s="148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>
      <c r="A926" s="148"/>
      <c r="B926" s="148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>
      <c r="A927" s="148"/>
      <c r="B927" s="148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>
      <c r="A928" s="148"/>
      <c r="B928" s="148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>
      <c r="A929" s="148"/>
      <c r="B929" s="148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>
      <c r="A930" s="148"/>
      <c r="B930" s="148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>
      <c r="A931" s="148"/>
      <c r="B931" s="148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>
      <c r="A932" s="148"/>
      <c r="B932" s="148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>
      <c r="A933" s="148"/>
      <c r="B933" s="148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>
      <c r="A934" s="148"/>
      <c r="B934" s="148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>
      <c r="A935" s="148"/>
      <c r="B935" s="148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>
      <c r="A936" s="148"/>
      <c r="B936" s="148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>
      <c r="A937" s="148"/>
      <c r="B937" s="148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>
      <c r="A938" s="148"/>
      <c r="B938" s="148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>
      <c r="A939" s="148"/>
      <c r="B939" s="148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>
      <c r="A940" s="148"/>
      <c r="B940" s="148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>
      <c r="A941" s="148"/>
      <c r="B941" s="148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>
      <c r="A942" s="148"/>
      <c r="B942" s="148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>
      <c r="A943" s="148"/>
      <c r="B943" s="148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>
      <c r="A944" s="148"/>
      <c r="B944" s="148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>
      <c r="A945" s="148"/>
      <c r="B945" s="148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>
      <c r="A946" s="148"/>
      <c r="B946" s="148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>
      <c r="A947" s="148"/>
      <c r="B947" s="148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>
      <c r="A948" s="148"/>
      <c r="B948" s="148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>
      <c r="A949" s="148"/>
      <c r="B949" s="148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>
      <c r="A950" s="148"/>
      <c r="B950" s="148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>
      <c r="A951" s="148"/>
      <c r="B951" s="148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>
      <c r="A952" s="148"/>
      <c r="B952" s="148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>
      <c r="A953" s="148"/>
      <c r="B953" s="148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>
      <c r="A954" s="148"/>
      <c r="B954" s="148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>
      <c r="A955" s="148"/>
      <c r="B955" s="148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>
      <c r="A956" s="148"/>
      <c r="B956" s="148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>
      <c r="A957" s="148"/>
      <c r="B957" s="148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>
      <c r="A958" s="148"/>
      <c r="B958" s="148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>
      <c r="A959" s="148"/>
      <c r="B959" s="148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>
      <c r="A960" s="148"/>
      <c r="B960" s="148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>
      <c r="A961" s="148"/>
      <c r="B961" s="148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>
      <c r="A962" s="148"/>
      <c r="B962" s="148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>
      <c r="A963" s="148"/>
      <c r="B963" s="148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>
      <c r="A964" s="148"/>
      <c r="B964" s="148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>
      <c r="A965" s="148"/>
      <c r="B965" s="148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>
      <c r="A966" s="148"/>
      <c r="B966" s="148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>
      <c r="A967" s="148"/>
      <c r="B967" s="148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>
      <c r="A968" s="148"/>
      <c r="B968" s="148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>
      <c r="A969" s="148"/>
      <c r="B969" s="148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>
      <c r="A970" s="148"/>
      <c r="B970" s="148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>
      <c r="A971" s="148"/>
      <c r="B971" s="148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>
      <c r="A972" s="148"/>
      <c r="B972" s="148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>
      <c r="A973" s="148"/>
      <c r="B973" s="148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>
      <c r="A974" s="148"/>
      <c r="B974" s="148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>
      <c r="A975" s="148"/>
      <c r="B975" s="148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>
      <c r="A976" s="148"/>
      <c r="B976" s="148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>
      <c r="A977" s="148"/>
      <c r="B977" s="148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>
      <c r="A978" s="148"/>
      <c r="B978" s="148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>
      <c r="A979" s="148"/>
      <c r="B979" s="148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>
      <c r="A980" s="148"/>
      <c r="B980" s="148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>
      <c r="A981" s="148"/>
      <c r="B981" s="148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>
      <c r="A982" s="148"/>
      <c r="B982" s="148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>
      <c r="A983" s="148"/>
      <c r="B983" s="148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>
      <c r="A984" s="148"/>
      <c r="B984" s="148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>
      <c r="A985" s="148"/>
      <c r="B985" s="148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>
      <c r="A986" s="148"/>
      <c r="B986" s="148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>
      <c r="A987" s="148"/>
      <c r="B987" s="148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>
      <c r="A988" s="148"/>
      <c r="B988" s="148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>
      <c r="A989" s="148"/>
      <c r="B989" s="148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>
      <c r="A990" s="148"/>
      <c r="B990" s="148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>
      <c r="A991" s="148"/>
      <c r="B991" s="148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>
      <c r="A992" s="148"/>
      <c r="B992" s="148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>
      <c r="A993" s="148"/>
      <c r="B993" s="148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>
      <c r="A994" s="148"/>
      <c r="B994" s="148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>
      <c r="A995" s="148"/>
      <c r="B995" s="148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  <row r="996">
      <c r="A996" s="148"/>
      <c r="B996" s="148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48"/>
      <c r="X996" s="148"/>
      <c r="Y996" s="148"/>
      <c r="Z996" s="148"/>
    </row>
    <row r="997">
      <c r="A997" s="148"/>
      <c r="B997" s="148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48"/>
      <c r="X997" s="148"/>
      <c r="Y997" s="148"/>
      <c r="Z997" s="148"/>
    </row>
    <row r="998">
      <c r="A998" s="148"/>
      <c r="B998" s="148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48"/>
      <c r="X998" s="148"/>
      <c r="Y998" s="148"/>
      <c r="Z998" s="148"/>
    </row>
    <row r="999">
      <c r="A999" s="148"/>
      <c r="B999" s="148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48"/>
      <c r="X999" s="148"/>
      <c r="Y999" s="148"/>
      <c r="Z999" s="148"/>
    </row>
    <row r="1000">
      <c r="A1000" s="148"/>
      <c r="B1000" s="148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48"/>
      <c r="X1000" s="148"/>
      <c r="Y1000" s="148"/>
      <c r="Z1000" s="148"/>
    </row>
  </sheetData>
  <dataValidations>
    <dataValidation type="list" allowBlank="1" sqref="F2:F11">
      <formula1>#REF!</formula1>
    </dataValidation>
    <dataValidation type="custom" allowBlank="1" showDropDown="1" sqref="B2:B11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9.13"/>
    <col customWidth="1" min="5" max="5" width="17.38"/>
    <col customWidth="1" min="8" max="8" width="21.63"/>
    <col customWidth="1" min="9" max="9" width="20.63"/>
    <col customWidth="1" min="10" max="10" width="34.5"/>
    <col customWidth="1" min="11" max="11" width="22.75"/>
  </cols>
  <sheetData>
    <row r="1" ht="22.5" customHeight="1">
      <c r="A1" s="39" t="s">
        <v>331</v>
      </c>
      <c r="B1" s="39" t="s">
        <v>332</v>
      </c>
      <c r="C1" s="39" t="s">
        <v>91</v>
      </c>
      <c r="D1" s="39" t="s">
        <v>92</v>
      </c>
      <c r="E1" s="39" t="s">
        <v>1</v>
      </c>
      <c r="F1" s="39" t="s">
        <v>333</v>
      </c>
      <c r="G1" s="39" t="s">
        <v>334</v>
      </c>
      <c r="H1" s="39" t="s">
        <v>335</v>
      </c>
      <c r="I1" s="39" t="s">
        <v>336</v>
      </c>
      <c r="J1" s="39" t="s">
        <v>337</v>
      </c>
      <c r="K1" s="39" t="s">
        <v>338</v>
      </c>
      <c r="L1" s="39" t="s">
        <v>339</v>
      </c>
      <c r="M1" s="39" t="s">
        <v>340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</row>
    <row r="2" ht="22.5" customHeight="1">
      <c r="A2" s="52" t="s">
        <v>341</v>
      </c>
      <c r="B2" s="52" t="s">
        <v>342</v>
      </c>
      <c r="C2" s="52" t="s">
        <v>343</v>
      </c>
      <c r="D2" s="52" t="s">
        <v>344</v>
      </c>
      <c r="E2" s="52">
        <v>30000.0</v>
      </c>
      <c r="F2" s="52">
        <v>5.0</v>
      </c>
      <c r="G2" s="52">
        <f>E2 * F2 / 100</f>
        <v>1500</v>
      </c>
      <c r="H2" s="52" t="s">
        <v>345</v>
      </c>
      <c r="I2" s="52" t="s">
        <v>346</v>
      </c>
      <c r="J2" s="52" t="s">
        <v>101</v>
      </c>
      <c r="K2" s="52" t="s">
        <v>347</v>
      </c>
      <c r="L2" s="52" t="s">
        <v>348</v>
      </c>
      <c r="M2" s="52" t="s">
        <v>349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>
      <c r="A3" s="116"/>
      <c r="B3" s="116"/>
      <c r="C3" s="165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>
      <c r="A4" s="116"/>
      <c r="B4" s="116"/>
      <c r="C4" s="165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>
      <c r="A5" s="116"/>
      <c r="B5" s="116"/>
      <c r="C5" s="165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>
      <c r="A6" s="116"/>
      <c r="B6" s="116"/>
      <c r="C6" s="165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>
      <c r="A7" s="116"/>
      <c r="B7" s="116"/>
      <c r="C7" s="165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</row>
  </sheetData>
  <drawing r:id="rId1"/>
  <tableParts count="1">
    <tablePart r:id="rId3"/>
  </tableParts>
</worksheet>
</file>